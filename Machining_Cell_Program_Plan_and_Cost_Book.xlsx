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Schedule" sheetId="3" state="visible" r:id="rId5"/>
    <sheet name="Quote Build-up" sheetId="4" state="visible" r:id="rId6"/>
    <sheet name="Cost Book" sheetId="5" state="visible" r:id="rId7"/>
    <sheet name="Change Log" sheetId="6" state="visible" r:id="rId8"/>
    <sheet name="Risk Register" sheetId="7" state="visible" r:id="rId9"/>
    <sheet name="Runoff Checklis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<sst xmlns="http://schemas.openxmlformats.org/spreadsheetml/2006/main" count="388" uniqueCount="290">
  <si>
    <t xml:space="preserve">Program Plan &amp; Cost Book: Two 5-Axis Machining Centers + Robotic Loading Cell</t>
  </si>
  <si>
    <t xml:space="preserve">Mock customer program built as a project management portfolio piece. Customer and all figures are fictional and illustrative.</t>
  </si>
  <si>
    <t xml:space="preserve">Scenario</t>
  </si>
  <si>
    <t xml:space="preserve">Fictional customer Lakeshore Drivetrain Co. orders two 5-axis horizontal machining centers, two hydraulic fixture sets and a robotic loading cell to machine an aluminum transmission housing.</t>
  </si>
  <si>
    <t xml:space="preserve">How to use</t>
  </si>
  <si>
    <t xml:space="preserve">Blue text = inputs you can change. Black = formulas. Green = links from another tab. Yellow fill = key assumptions.</t>
  </si>
  <si>
    <t xml:space="preserve">Schedule</t>
  </si>
  <si>
    <t xml:space="preserve">Change durations, predecessors-driven start dates recalculate with WORKDAY. Gantt bars redraw from the dates.</t>
  </si>
  <si>
    <t xml:space="preserve">Quote Build-up</t>
  </si>
  <si>
    <t xml:space="preserve">Cost lines x markup = quoted price. Feeds the Cost Book budget.</t>
  </si>
  <si>
    <t xml:space="preserve">Cost Book</t>
  </si>
  <si>
    <t xml:space="preserve">Budget vs committed vs actual vs estimate-to-complete. EAC and variance calculate automatically.</t>
  </si>
  <si>
    <t xml:space="preserve">Change Log</t>
  </si>
  <si>
    <t xml:space="preserve">Customer change requests priced as supplementary quotes; approved ones roll into the revised contract on the Dashboard.</t>
  </si>
  <si>
    <t xml:space="preserve">Risk Register</t>
  </si>
  <si>
    <t xml:space="preserve">Probability x impact scoring with mitigation owners.</t>
  </si>
  <si>
    <t xml:space="preserve">Runoff Checklist</t>
  </si>
  <si>
    <t xml:space="preserve">Acceptance criteria checked at our plant and at the customer site.</t>
  </si>
  <si>
    <t xml:space="preserve">Dashboard</t>
  </si>
  <si>
    <t xml:space="preserve">One-page status for the customer program review: contract, margin, schedule health.</t>
  </si>
  <si>
    <t xml:space="preserve">Program Review Dashboard</t>
  </si>
  <si>
    <t xml:space="preserve">Lakeshore Drivetrain Co. (fictional), two 5-axis machining centers + robotic loading cell</t>
  </si>
  <si>
    <t xml:space="preserve">COMMERCIAL</t>
  </si>
  <si>
    <t xml:space="preserve">SCHEDULE</t>
  </si>
  <si>
    <t xml:space="preserve">Original contract value ($)</t>
  </si>
  <si>
    <t xml:space="preserve">Status date</t>
  </si>
  <si>
    <t xml:space="preserve">Approved change orders ($)</t>
  </si>
  <si>
    <t xml:space="preserve">Planned project finish</t>
  </si>
  <si>
    <t xml:space="preserve">Revised contract value ($)</t>
  </si>
  <si>
    <t xml:space="preserve">Overall % complete (duration-weighted)</t>
  </si>
  <si>
    <t xml:space="preserve">Pending change orders ($)</t>
  </si>
  <si>
    <t xml:space="preserve">Tasks late</t>
  </si>
  <si>
    <t xml:space="preserve">Budget cost incl. approved COs ($)</t>
  </si>
  <si>
    <t xml:space="preserve">Tasks in progress</t>
  </si>
  <si>
    <t xml:space="preserve">Estimate at completion ($)</t>
  </si>
  <si>
    <t xml:space="preserve">Approved CO days (absorbed by float)</t>
  </si>
  <si>
    <t xml:space="preserve">Forecast margin ($)</t>
  </si>
  <si>
    <t xml:space="preserve">High risks open</t>
  </si>
  <si>
    <t xml:space="preserve">Quoted margin %</t>
  </si>
  <si>
    <t xml:space="preserve">Runoff items passed (our plant)</t>
  </si>
  <si>
    <t xml:space="preserve">Forecast margin %</t>
  </si>
  <si>
    <t xml:space="preserve">Overall status</t>
  </si>
  <si>
    <t xml:space="preserve">Margin change vs quote (pts)</t>
  </si>
  <si>
    <t xml:space="preserve">Talking points for program review</t>
  </si>
  <si>
    <t xml:space="preserve">- Robot cell delivery is late; integration resequenced, expedite fee covered from contingency.</t>
  </si>
  <si>
    <t xml:space="preserve">- Machine line is forecast over budget on the second spindle; contingency released to offset.</t>
  </si>
  <si>
    <t xml:space="preserve">- CO-02 and CO-03 priced and sent as supplementary quotes; need customer decision before guarding work starts.</t>
  </si>
  <si>
    <t xml:space="preserve">Project Schedule (Customer Time Schedule)</t>
  </si>
  <si>
    <t xml:space="preserve">Start dates are driven by predecessors (finish-to-start, working days). Status is judged against the status date.</t>
  </si>
  <si>
    <t xml:space="preserve">Project start</t>
  </si>
  <si>
    <t xml:space="preserve">Holidays</t>
  </si>
  <si>
    <t xml:space="preserve">Gantt (week starting): dark blue = task, light = summary, orange = late, red = milestone</t>
  </si>
  <si>
    <t xml:space="preserve">WBS</t>
  </si>
  <si>
    <t xml:space="preserve">Task</t>
  </si>
  <si>
    <t xml:space="preserve">Owner</t>
  </si>
  <si>
    <t xml:space="preserve">Duration (days)</t>
  </si>
  <si>
    <t xml:space="preserve">Predecessors</t>
  </si>
  <si>
    <t xml:space="preserve">Start</t>
  </si>
  <si>
    <t xml:space="preserve">Finish</t>
  </si>
  <si>
    <t xml:space="preserve">% Complete</t>
  </si>
  <si>
    <t xml:space="preserve">Status</t>
  </si>
  <si>
    <t xml:space="preserve">1</t>
  </si>
  <si>
    <t xml:space="preserve">RFQ &amp; Quotation</t>
  </si>
  <si>
    <t xml:space="preserve">1.1</t>
  </si>
  <si>
    <t xml:space="preserve">Receive RFQ and SOW, log in quote tracker</t>
  </si>
  <si>
    <t xml:space="preserve">Project Manager</t>
  </si>
  <si>
    <t xml:space="preserve">1.2</t>
  </si>
  <si>
    <t xml:space="preserve">Technical evaluation of scope (part, cycle time, tolerances)</t>
  </si>
  <si>
    <t xml:space="preserve">Applications Engineer</t>
  </si>
  <si>
    <t xml:space="preserve">1.3</t>
  </si>
  <si>
    <t xml:space="preserve">Send clarification questions to customer</t>
  </si>
  <si>
    <t xml:space="preserve">1.4</t>
  </si>
  <si>
    <t xml:space="preserve">Build cost estimate in Quote Build-up</t>
  </si>
  <si>
    <t xml:space="preserve">1.5</t>
  </si>
  <si>
    <t xml:space="preserve">Internal quote review and approval</t>
  </si>
  <si>
    <t xml:space="preserve">Sales Manager</t>
  </si>
  <si>
    <t xml:space="preserve">1.6</t>
  </si>
  <si>
    <t xml:space="preserve">Quote submitted to customer</t>
  </si>
  <si>
    <t xml:space="preserve">1.7</t>
  </si>
  <si>
    <t xml:space="preserve">Customer negotiation and PO</t>
  </si>
  <si>
    <t xml:space="preserve">1.8</t>
  </si>
  <si>
    <t xml:space="preserve">Customer PO received</t>
  </si>
  <si>
    <t xml:space="preserve">2</t>
  </si>
  <si>
    <t xml:space="preserve">Order Release</t>
  </si>
  <si>
    <t xml:space="preserve">2.1</t>
  </si>
  <si>
    <t xml:space="preserve">Scope-of-supply check: PO vs quote</t>
  </si>
  <si>
    <t xml:space="preserve">2.2</t>
  </si>
  <si>
    <t xml:space="preserve">Internal job order release</t>
  </si>
  <si>
    <t xml:space="preserve">2.3</t>
  </si>
  <si>
    <t xml:space="preserve">Issue customer time schedule</t>
  </si>
  <si>
    <t xml:space="preserve">2.4</t>
  </si>
  <si>
    <t xml:space="preserve">Kickoff meeting with customer</t>
  </si>
  <si>
    <t xml:space="preserve">3</t>
  </si>
  <si>
    <t xml:space="preserve">Engineering</t>
  </si>
  <si>
    <t xml:space="preserve">3.1</t>
  </si>
  <si>
    <t xml:space="preserve">Fixture design (hydraulic, 2 sets)</t>
  </si>
  <si>
    <t xml:space="preserve">Mechanical Design</t>
  </si>
  <si>
    <t xml:space="preserve">3.2</t>
  </si>
  <si>
    <t xml:space="preserve">Robot cell layout and guarding design</t>
  </si>
  <si>
    <t xml:space="preserve">Automation Engineer</t>
  </si>
  <si>
    <t xml:space="preserve">3.3</t>
  </si>
  <si>
    <t xml:space="preserve">CNC process and program development</t>
  </si>
  <si>
    <t xml:space="preserve">3.4</t>
  </si>
  <si>
    <t xml:space="preserve">Customer design review approved</t>
  </si>
  <si>
    <t xml:space="preserve">3.1, 3.2</t>
  </si>
  <si>
    <t xml:space="preserve">4</t>
  </si>
  <si>
    <t xml:space="preserve">Procurement</t>
  </si>
  <si>
    <t xml:space="preserve">4.1</t>
  </si>
  <si>
    <t xml:space="preserve">Long-lead items: spindles and CNC controls</t>
  </si>
  <si>
    <t xml:space="preserve">Purchasing</t>
  </si>
  <si>
    <t xml:space="preserve">4.2</t>
  </si>
  <si>
    <t xml:space="preserve">Robot and safety guarding</t>
  </si>
  <si>
    <t xml:space="preserve">4.3</t>
  </si>
  <si>
    <t xml:space="preserve">Fixture components</t>
  </si>
  <si>
    <t xml:space="preserve">5</t>
  </si>
  <si>
    <t xml:space="preserve">Build &amp; Assembly</t>
  </si>
  <si>
    <t xml:space="preserve">5.1</t>
  </si>
  <si>
    <t xml:space="preserve">Machine 1 assembly</t>
  </si>
  <si>
    <t xml:space="preserve">Assembly</t>
  </si>
  <si>
    <t xml:space="preserve">5.2</t>
  </si>
  <si>
    <t xml:space="preserve">Machine 2 assembly</t>
  </si>
  <si>
    <t xml:space="preserve">5.3</t>
  </si>
  <si>
    <t xml:space="preserve">Fixture build and CMM inspection</t>
  </si>
  <si>
    <t xml:space="preserve">Quality</t>
  </si>
  <si>
    <t xml:space="preserve">5.4</t>
  </si>
  <si>
    <t xml:space="preserve">Cell integration and controls I/O check</t>
  </si>
  <si>
    <t xml:space="preserve">Controls Engineer</t>
  </si>
  <si>
    <t xml:space="preserve">5.1, 5.2, 5.3, 4.2</t>
  </si>
  <si>
    <t xml:space="preserve">6</t>
  </si>
  <si>
    <t xml:space="preserve">Runoff &amp; Acceptance</t>
  </si>
  <si>
    <t xml:space="preserve">6.1</t>
  </si>
  <si>
    <t xml:space="preserve">Internal quality check against runoff checklist</t>
  </si>
  <si>
    <t xml:space="preserve">6.2</t>
  </si>
  <si>
    <t xml:space="preserve">Pre-acceptance runoff at our plant (Cpk study)</t>
  </si>
  <si>
    <t xml:space="preserve">6.1, 3.3</t>
  </si>
  <si>
    <t xml:space="preserve">6.3</t>
  </si>
  <si>
    <t xml:space="preserve">Customer buy-off signed</t>
  </si>
  <si>
    <t xml:space="preserve">7</t>
  </si>
  <si>
    <t xml:space="preserve">Delivery &amp; Installation</t>
  </si>
  <si>
    <t xml:space="preserve">7.1</t>
  </si>
  <si>
    <t xml:space="preserve">Teardown, crate and ship</t>
  </si>
  <si>
    <t xml:space="preserve">Logistics</t>
  </si>
  <si>
    <t xml:space="preserve">7.2</t>
  </si>
  <si>
    <t xml:space="preserve">Installation and leveling at customer site</t>
  </si>
  <si>
    <t xml:space="preserve">Service</t>
  </si>
  <si>
    <t xml:space="preserve">7.3</t>
  </si>
  <si>
    <t xml:space="preserve">Final runoff at customer site</t>
  </si>
  <si>
    <t xml:space="preserve">7.4</t>
  </si>
  <si>
    <t xml:space="preserve">Operator and maintenance training</t>
  </si>
  <si>
    <t xml:space="preserve">7.5</t>
  </si>
  <si>
    <t xml:space="preserve">Final acceptance</t>
  </si>
  <si>
    <t xml:space="preserve">8</t>
  </si>
  <si>
    <t xml:space="preserve">Closeout</t>
  </si>
  <si>
    <t xml:space="preserve">8.1</t>
  </si>
  <si>
    <t xml:space="preserve">Final cost book reconciliation</t>
  </si>
  <si>
    <t xml:space="preserve">8.2</t>
  </si>
  <si>
    <t xml:space="preserve">Lessons learned and handover to service</t>
  </si>
  <si>
    <t xml:space="preserve">8.3</t>
  </si>
  <si>
    <t xml:space="preserve">Project closed</t>
  </si>
  <si>
    <t xml:space="preserve">Quote Build-up (RFQ response)</t>
  </si>
  <si>
    <t xml:space="preserve">Cost estimate per scope line, marked up to the quoted sell price. Quantities, unit costs and markups are inputs.</t>
  </si>
  <si>
    <t xml:space="preserve">Default markup</t>
  </si>
  <si>
    <t xml:space="preserve">Assumption: markup on cost (22% markup = about 18% margin on sell price); illustrative.</t>
  </si>
  <si>
    <t xml:space="preserve">Line</t>
  </si>
  <si>
    <t xml:space="preserve">Scope item</t>
  </si>
  <si>
    <t xml:space="preserve">Unit</t>
  </si>
  <si>
    <t xml:space="preserve">Qty</t>
  </si>
  <si>
    <t xml:space="preserve">Unit cost ($)</t>
  </si>
  <si>
    <t xml:space="preserve">Cost ($)</t>
  </si>
  <si>
    <t xml:space="preserve">Markup</t>
  </si>
  <si>
    <t xml:space="preserve">Sell price ($)</t>
  </si>
  <si>
    <t xml:space="preserve">Machine</t>
  </si>
  <si>
    <t xml:space="preserve">5-axis horizontal machining center (base machine)</t>
  </si>
  <si>
    <t xml:space="preserve">ea</t>
  </si>
  <si>
    <t xml:space="preserve">Fixture</t>
  </si>
  <si>
    <t xml:space="preserve">Hydraulic fixture set, single nest</t>
  </si>
  <si>
    <t xml:space="preserve">set</t>
  </si>
  <si>
    <t xml:space="preserve">Automation</t>
  </si>
  <si>
    <t xml:space="preserve">Robotic loading cell incl. safety guarding</t>
  </si>
  <si>
    <t xml:space="preserve">lot</t>
  </si>
  <si>
    <t xml:space="preserve">Controls</t>
  </si>
  <si>
    <t xml:space="preserve">Controls and software integration</t>
  </si>
  <si>
    <t xml:space="preserve">Eng labor</t>
  </si>
  <si>
    <t xml:space="preserve">Engineering hours (mech, controls, apps)</t>
  </si>
  <si>
    <t xml:space="preserve">hr</t>
  </si>
  <si>
    <t xml:space="preserve">Assy labor</t>
  </si>
  <si>
    <t xml:space="preserve">Assembly hours</t>
  </si>
  <si>
    <t xml:space="preserve">Runoff</t>
  </si>
  <si>
    <t xml:space="preserve">Runoff and applications support</t>
  </si>
  <si>
    <t xml:space="preserve">Freight</t>
  </si>
  <si>
    <t xml:space="preserve">Freight, crating and rigging</t>
  </si>
  <si>
    <t xml:space="preserve">Install</t>
  </si>
  <si>
    <t xml:space="preserve">Installation and travel</t>
  </si>
  <si>
    <t xml:space="preserve">Training</t>
  </si>
  <si>
    <t xml:space="preserve">Warranty reserve (% of cost)</t>
  </si>
  <si>
    <t xml:space="preserve">Contingency (% of cost)</t>
  </si>
  <si>
    <t xml:space="preserve">TOTAL</t>
  </si>
  <si>
    <t xml:space="preserve">Quoted margin</t>
  </si>
  <si>
    <t xml:space="preserve">Project Cost Book</t>
  </si>
  <si>
    <t xml:space="preserve">Budget comes from the quote. Committed = POs placed. Actual = invoiced/booked to date. ETC = estimate to complete. EAC = Actual + ETC.</t>
  </si>
  <si>
    <t xml:space="preserve">Cost item</t>
  </si>
  <si>
    <t xml:space="preserve">Budget ($)</t>
  </si>
  <si>
    <t xml:space="preserve">Committed ($)</t>
  </si>
  <si>
    <t xml:space="preserve">Actual to date ($)</t>
  </si>
  <si>
    <t xml:space="preserve">Est. to complete ($)</t>
  </si>
  <si>
    <t xml:space="preserve">EAC ($)</t>
  </si>
  <si>
    <t xml:space="preserve">Variance ($)</t>
  </si>
  <si>
    <t xml:space="preserve">Variance %</t>
  </si>
  <si>
    <t xml:space="preserve">Note</t>
  </si>
  <si>
    <t xml:space="preserve">Machine 2 spindle quote came in higher</t>
  </si>
  <si>
    <t xml:space="preserve">Robot delivery 1 week late; expedite fee</t>
  </si>
  <si>
    <t xml:space="preserve">Hours tracked from timesheets</t>
  </si>
  <si>
    <t xml:space="preserve">Warranty</t>
  </si>
  <si>
    <t xml:space="preserve">Held until warranty period ends</t>
  </si>
  <si>
    <t xml:space="preserve">Contingency</t>
  </si>
  <si>
    <t xml:space="preserve">Partly released to absorb machine and robot overruns; $25k held for install risk</t>
  </si>
  <si>
    <t xml:space="preserve">Variance = Budget - EAC. Negative (red) means the line is forecast over budget.</t>
  </si>
  <si>
    <t xml:space="preserve">Change Log and Supplementary Quotes</t>
  </si>
  <si>
    <t xml:space="preserve">Every customer change is priced as a supplementary quote. Only Approved changes count toward the revised contract.</t>
  </si>
  <si>
    <t xml:space="preserve">CO #</t>
  </si>
  <si>
    <t xml:space="preserve">Description</t>
  </si>
  <si>
    <t xml:space="preserve">Requested by</t>
  </si>
  <si>
    <t xml:space="preserve">Date</t>
  </si>
  <si>
    <t xml:space="preserve">Added cost ($)</t>
  </si>
  <si>
    <t xml:space="preserve">Supplementary quote ($)</t>
  </si>
  <si>
    <t xml:space="preserve">Schedule impact (days)</t>
  </si>
  <si>
    <t xml:space="preserve">CO-01</t>
  </si>
  <si>
    <t xml:space="preserve">Add part variant B: second nest on each fixture, new CNC program (absorbed by fixture float)</t>
  </si>
  <si>
    <t xml:space="preserve">Customer</t>
  </si>
  <si>
    <t xml:space="preserve">Approved</t>
  </si>
  <si>
    <t xml:space="preserve">CO-02</t>
  </si>
  <si>
    <t xml:space="preserve">Spare spindle cartridge for customer stock</t>
  </si>
  <si>
    <t xml:space="preserve">Pending</t>
  </si>
  <si>
    <t xml:space="preserve">CO-03</t>
  </si>
  <si>
    <t xml:space="preserve">Upgrade guarding to customer corporate safety standard</t>
  </si>
  <si>
    <t xml:space="preserve">Approved total</t>
  </si>
  <si>
    <t xml:space="preserve">Pending total</t>
  </si>
  <si>
    <t xml:space="preserve">Probability and impact on a 1-5 scale. Score = P x I. 15+ is high, 8-14 medium.</t>
  </si>
  <si>
    <t xml:space="preserve">ID</t>
  </si>
  <si>
    <t xml:space="preserve">Risk</t>
  </si>
  <si>
    <t xml:space="preserve">Probability (1-5)</t>
  </si>
  <si>
    <t xml:space="preserve">Impact (1-5)</t>
  </si>
  <si>
    <t xml:space="preserve">Score</t>
  </si>
  <si>
    <t xml:space="preserve">Rating</t>
  </si>
  <si>
    <t xml:space="preserve">Mitigation</t>
  </si>
  <si>
    <t xml:space="preserve">R1</t>
  </si>
  <si>
    <t xml:space="preserve">Long-lead spindle or control delivery slips</t>
  </si>
  <si>
    <t xml:space="preserve">Order at job release; weekly supplier check-in; track in schedule</t>
  </si>
  <si>
    <t xml:space="preserve">R2</t>
  </si>
  <si>
    <t xml:space="preserve">Part fails Cpk 1.33 at runoff</t>
  </si>
  <si>
    <t xml:space="preserve">Early capability trial on machine 1; fixture CMM check before runoff</t>
  </si>
  <si>
    <t xml:space="preserve">R3</t>
  </si>
  <si>
    <t xml:space="preserve">Customer scope creep without paperwork</t>
  </si>
  <si>
    <t xml:space="preserve">Every change through Change Log and supplementary quote before work starts</t>
  </si>
  <si>
    <t xml:space="preserve">R4</t>
  </si>
  <si>
    <t xml:space="preserve">Robot cell delivery late (now happening)</t>
  </si>
  <si>
    <t xml:space="preserve">Expedite fee budgeted from contingency; resequence integration</t>
  </si>
  <si>
    <t xml:space="preserve">R5</t>
  </si>
  <si>
    <t xml:space="preserve">Site not ready for install (foundation, power, air)</t>
  </si>
  <si>
    <t xml:space="preserve">Send site-prep checklist 8 weeks before ship; confirm at program review</t>
  </si>
  <si>
    <t xml:space="preserve">Acceptance criteria agreed with the customer at order. Pre-acceptance at our plant, final at customer site.</t>
  </si>
  <si>
    <t xml:space="preserve">#</t>
  </si>
  <si>
    <t xml:space="preserve">Check</t>
  </si>
  <si>
    <t xml:space="preserve">Requirement</t>
  </si>
  <si>
    <t xml:space="preserve">Method</t>
  </si>
  <si>
    <t xml:space="preserve">Our plant</t>
  </si>
  <si>
    <t xml:space="preserve">Customer site</t>
  </si>
  <si>
    <t xml:space="preserve">Cycle time per part</t>
  </si>
  <si>
    <t xml:space="preserve">&lt;= 4.5 min</t>
  </si>
  <si>
    <t xml:space="preserve">Timed 30-part run</t>
  </si>
  <si>
    <t xml:space="preserve">Open</t>
  </si>
  <si>
    <t xml:space="preserve">Process capability, critical bores</t>
  </si>
  <si>
    <t xml:space="preserve">Cpk &gt;= 1.33</t>
  </si>
  <si>
    <t xml:space="preserve">CMM, 30 consecutive parts</t>
  </si>
  <si>
    <t xml:space="preserve">Position tolerance, bolt pattern</t>
  </si>
  <si>
    <t xml:space="preserve">Per drawing, datums A|B|C</t>
  </si>
  <si>
    <t xml:space="preserve">CMM report</t>
  </si>
  <si>
    <t xml:space="preserve">Unattended run</t>
  </si>
  <si>
    <t xml:space="preserve">4 hours, no stops</t>
  </si>
  <si>
    <t xml:space="preserve">Robot cell continuous run</t>
  </si>
  <si>
    <t xml:space="preserve">Safety guarding and interlocks</t>
  </si>
  <si>
    <t xml:space="preserve">Customer safety standard</t>
  </si>
  <si>
    <t xml:space="preserve">Interlock test sheet</t>
  </si>
  <si>
    <t xml:space="preserve">Documentation package</t>
  </si>
  <si>
    <t xml:space="preserve">Manuals, electrical prints, spares list</t>
  </si>
  <si>
    <t xml:space="preserve">Checklist sign-off</t>
  </si>
  <si>
    <t xml:space="preserve">Operator training</t>
  </si>
  <si>
    <t xml:space="preserve">2 shifts trained</t>
  </si>
  <si>
    <t xml:space="preserve">Attendance sign-off</t>
  </si>
  <si>
    <t xml:space="preserve">Items passed at our plant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</si>
</sst>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$-409]#,##0;\([$$-409]#,##0\);\-"/>
    <numFmt numFmtId="166" formatCode="mmm\ d&quot;, &quot;yyyy"/>
    <numFmt numFmtId="167" formatCode="0.0%;\(0.0%\);\-"/>
    <numFmt numFmtId="168" formatCode="General"/>
    <numFmt numFmtId="169" formatCode="m/d"/>
    <numFmt numFmtId="170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1" fillId="3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FFE699"/>
        </patternFill>
      </fill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FF9900"/>
        </patternFill>
      </fill>
    </dxf>
    <dxf>
      <fill>
        <patternFill>
          <bgColor rgb="FF2F5597"/>
        </patternFill>
      </fill>
    </dxf>
    <dxf>
      <font>
        <name val="Arial"/>
        <charset val="1"/>
        <family val="0"/>
        <b val="1"/>
        <color rgb="FFC00000"/>
      </font>
    </dxf>
    <dxf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26.85" hidden="false" customHeight="false" outlineLevel="0" collapsed="false">
      <c r="A4" s="4" t="s">
        <v>2</v>
      </c>
      <c r="B4" s="5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15" hidden="false" customHeight="false" outlineLevel="0" collapsed="false">
      <c r="A8" s="4" t="s">
        <v>10</v>
      </c>
      <c r="B8" s="5" t="s">
        <v>11</v>
      </c>
    </row>
    <row r="9" customFormat="false" ht="26.85" hidden="false" customHeight="false" outlineLevel="0" collapsed="false">
      <c r="A9" s="4" t="s">
        <v>12</v>
      </c>
      <c r="B9" s="5" t="s">
        <v>13</v>
      </c>
    </row>
    <row r="10" customFormat="false" ht="15" hidden="false" customHeight="false" outlineLevel="0" collapsed="false">
      <c r="A10" s="4" t="s">
        <v>14</v>
      </c>
      <c r="B10" s="5" t="s">
        <v>15</v>
      </c>
    </row>
    <row r="11" customFormat="false" ht="15" hidden="false" customHeight="false" outlineLevel="0" collapsed="false">
      <c r="A11" s="4" t="s">
        <v>16</v>
      </c>
      <c r="B11" s="5" t="s">
        <v>17</v>
      </c>
    </row>
    <row r="12" customFormat="false" ht="15" hidden="false" customHeight="false" outlineLevel="0" collapsed="false">
      <c r="A12" s="4" t="s">
        <v>18</v>
      </c>
      <c r="B12" s="5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AN80" numberStoredAsText="1" formula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42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" t="s">
        <v>20</v>
      </c>
      <c r="B1" s="2"/>
      <c r="C1" s="2"/>
      <c r="D1" s="2"/>
      <c r="E1" s="2"/>
    </row>
    <row r="2" customFormat="false" ht="15" hidden="false" customHeight="false" outlineLevel="0" collapsed="false">
      <c r="A2" s="3" t="s">
        <v>21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4" t="s">
        <v>22</v>
      </c>
      <c r="B4" s="2"/>
      <c r="C4" s="2"/>
      <c r="D4" s="4" t="s">
        <v>23</v>
      </c>
      <c r="E4" s="2"/>
    </row>
    <row r="5" customFormat="false" ht="15" hidden="false" customHeight="false" outlineLevel="0" collapsed="false">
      <c r="A5" s="6" t="s">
        <v>24</v>
      </c>
      <c r="B5" s="7" t="n">
        <f aca="false">'Quote Build-up'!H18</f>
        <v>2375922.3</v>
      </c>
      <c r="C5" s="2"/>
      <c r="D5" s="6" t="s">
        <v>25</v>
      </c>
      <c r="E5" s="8" t="n">
        <f aca="false">Schedule!E3</f>
        <v>46493</v>
      </c>
    </row>
    <row r="6" customFormat="false" ht="15" hidden="false" customHeight="false" outlineLevel="0" collapsed="false">
      <c r="A6" s="6" t="s">
        <v>26</v>
      </c>
      <c r="B6" s="7" t="n">
        <f aca="false">'Change Log'!F8</f>
        <v>24000</v>
      </c>
      <c r="C6" s="2"/>
      <c r="D6" s="6" t="s">
        <v>27</v>
      </c>
      <c r="E6" s="8" t="n">
        <f aca="false">MAX(Schedule!G6:G47)</f>
        <v>46577</v>
      </c>
    </row>
    <row r="7" customFormat="false" ht="15" hidden="false" customHeight="false" outlineLevel="0" collapsed="false">
      <c r="A7" s="6" t="s">
        <v>28</v>
      </c>
      <c r="B7" s="9" t="n">
        <f aca="false">B5+B6</f>
        <v>2399922.3</v>
      </c>
      <c r="C7" s="2"/>
      <c r="D7" s="6" t="s">
        <v>29</v>
      </c>
      <c r="E7" s="10" t="n">
        <f aca="false">IFERROR(SUMPRODUCT((Schedule!I6:I47&lt;&gt;"")*Schedule!D6:D47*Schedule!H6:H47)/SUMPRODUCT((Schedule!I6:I47&lt;&gt;"")*Schedule!D6:D47),0)</f>
        <v>0.703100775193798</v>
      </c>
    </row>
    <row r="8" customFormat="false" ht="15" hidden="false" customHeight="false" outlineLevel="0" collapsed="false">
      <c r="A8" s="6" t="s">
        <v>30</v>
      </c>
      <c r="B8" s="7" t="n">
        <f aca="false">'Change Log'!F9</f>
        <v>54300</v>
      </c>
      <c r="C8" s="2"/>
      <c r="D8" s="6" t="s">
        <v>31</v>
      </c>
      <c r="E8" s="11" t="n">
        <f aca="false">COUNTIF(Schedule!I6:I47,"LATE")</f>
        <v>1</v>
      </c>
    </row>
    <row r="9" customFormat="false" ht="15" hidden="false" customHeight="false" outlineLevel="0" collapsed="false">
      <c r="A9" s="6" t="s">
        <v>32</v>
      </c>
      <c r="B9" s="7" t="n">
        <f aca="false">'Cost Book'!C17+'Change Log'!E8</f>
        <v>1969715</v>
      </c>
      <c r="C9" s="2"/>
      <c r="D9" s="6" t="s">
        <v>33</v>
      </c>
      <c r="E9" s="11" t="n">
        <f aca="false">COUNTIF(Schedule!I6:I47,"In progress")</f>
        <v>2</v>
      </c>
    </row>
    <row r="10" customFormat="false" ht="15" hidden="false" customHeight="false" outlineLevel="0" collapsed="false">
      <c r="A10" s="6" t="s">
        <v>34</v>
      </c>
      <c r="B10" s="7" t="n">
        <f aca="false">'Cost Book'!G17+'Change Log'!E8</f>
        <v>1958966</v>
      </c>
      <c r="C10" s="2"/>
      <c r="D10" s="6" t="s">
        <v>35</v>
      </c>
      <c r="E10" s="11" t="n">
        <f aca="false">'Change Log'!G8</f>
        <v>5</v>
      </c>
    </row>
    <row r="11" customFormat="false" ht="15" hidden="false" customHeight="false" outlineLevel="0" collapsed="false">
      <c r="A11" s="6" t="s">
        <v>36</v>
      </c>
      <c r="B11" s="9" t="n">
        <f aca="false">B7-B10</f>
        <v>440956.3</v>
      </c>
      <c r="C11" s="2"/>
      <c r="D11" s="6" t="s">
        <v>37</v>
      </c>
      <c r="E11" s="11" t="n">
        <f aca="false">COUNTIF('Risk Register'!F5:F9,"High")</f>
        <v>2</v>
      </c>
    </row>
    <row r="12" customFormat="false" ht="15" hidden="false" customHeight="false" outlineLevel="0" collapsed="false">
      <c r="A12" s="6" t="s">
        <v>38</v>
      </c>
      <c r="B12" s="10" t="n">
        <f aca="false">'Quote Build-up'!H19</f>
        <v>0.178754709276478</v>
      </c>
      <c r="C12" s="2"/>
      <c r="D12" s="6" t="s">
        <v>39</v>
      </c>
      <c r="E12" s="11" t="str">
        <f aca="false">'Runoff Checklist'!E12</f>
        <v>0 of 7</v>
      </c>
    </row>
    <row r="13" customFormat="false" ht="15" hidden="false" customHeight="false" outlineLevel="0" collapsed="false">
      <c r="A13" s="6" t="s">
        <v>40</v>
      </c>
      <c r="B13" s="12" t="n">
        <f aca="false">IFERROR(B11/B7,0)</f>
        <v>0.183737740176005</v>
      </c>
      <c r="C13" s="2"/>
      <c r="D13" s="6" t="s">
        <v>41</v>
      </c>
      <c r="E13" s="6" t="str">
        <f aca="false">IF(OR(E8&gt;0,B14&lt;-0.02),"AMBER: action needed","GREEN")</f>
        <v>AMBER: action needed</v>
      </c>
    </row>
    <row r="14" customFormat="false" ht="15" hidden="false" customHeight="false" outlineLevel="0" collapsed="false">
      <c r="A14" s="6" t="s">
        <v>42</v>
      </c>
      <c r="B14" s="12" t="n">
        <f aca="false">B13-B12</f>
        <v>0.00498303089952726</v>
      </c>
      <c r="C14" s="2"/>
      <c r="D14" s="2"/>
      <c r="E14" s="2"/>
    </row>
    <row r="15" customFormat="false" ht="15" hidden="false" customHeight="false" outlineLevel="0" collapsed="false">
      <c r="A15" s="2"/>
      <c r="B15" s="2"/>
      <c r="C15" s="2"/>
      <c r="D15" s="2"/>
      <c r="E15" s="2"/>
    </row>
    <row r="16" customFormat="false" ht="15" hidden="false" customHeight="false" outlineLevel="0" collapsed="false">
      <c r="A16" s="4" t="s">
        <v>43</v>
      </c>
      <c r="B16" s="2"/>
      <c r="C16" s="2"/>
      <c r="D16" s="2"/>
      <c r="E16" s="2"/>
    </row>
    <row r="17" customFormat="false" ht="15" hidden="false" customHeight="false" outlineLevel="0" collapsed="false">
      <c r="A17" s="2" t="s">
        <v>44</v>
      </c>
      <c r="B17" s="2"/>
      <c r="C17" s="2"/>
      <c r="D17" s="2"/>
      <c r="E17" s="2"/>
    </row>
    <row r="18" customFormat="false" ht="15" hidden="false" customHeight="false" outlineLevel="0" collapsed="false">
      <c r="A18" s="2" t="s">
        <v>45</v>
      </c>
      <c r="B18" s="2"/>
      <c r="C18" s="2"/>
      <c r="D18" s="2"/>
      <c r="E18" s="2"/>
    </row>
    <row r="19" customFormat="false" ht="15" hidden="false" customHeight="false" outlineLevel="0" collapsed="false">
      <c r="A19" s="2" t="s">
        <v>46</v>
      </c>
      <c r="B19" s="2"/>
      <c r="C19" s="2"/>
      <c r="D19" s="2"/>
      <c r="E19" s="2"/>
    </row>
  </sheetData>
  <conditionalFormatting sqref="E13">
    <cfRule type="expression" priority="2" aboveAverage="0" equalAverage="0" bottom="0" percent="0" rank="0" text="" dxfId="0">
      <formula>LEFT(E13,5)="AMBER"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AN80" numberStoredAsText="1" formula="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5" min="4" style="0" width="13"/>
    <col collapsed="false" customWidth="true" hidden="false" outlineLevel="0" max="7" min="6" style="0" width="14"/>
    <col collapsed="false" customWidth="true" hidden="false" outlineLevel="0" max="9" min="8" style="0" width="13"/>
    <col collapsed="false" customWidth="true" hidden="false" outlineLevel="0" max="38" min="11" style="0" width="3.2"/>
  </cols>
  <sheetData>
    <row r="1" customFormat="false" ht="17.35" hidden="false" customHeight="false" outlineLevel="0" collapsed="false">
      <c r="A1" s="1" t="s">
        <v>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customFormat="false" ht="15" hidden="false" customHeight="false" outlineLevel="0" collapsed="false">
      <c r="A2" s="3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customFormat="false" ht="15" hidden="false" customHeight="false" outlineLevel="0" collapsed="false">
      <c r="A3" s="4" t="s">
        <v>49</v>
      </c>
      <c r="B3" s="13" t="n">
        <v>46391</v>
      </c>
      <c r="C3" s="2"/>
      <c r="D3" s="4" t="s">
        <v>25</v>
      </c>
      <c r="E3" s="13" t="n">
        <v>46493</v>
      </c>
      <c r="F3" s="2"/>
      <c r="G3" s="4" t="s">
        <v>50</v>
      </c>
      <c r="H3" s="14" t="n">
        <v>46538</v>
      </c>
      <c r="I3" s="14" t="n">
        <v>46573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3" t="s">
        <v>51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customFormat="false" ht="26.85" hidden="false" customHeight="false" outlineLevel="0" collapsed="false">
      <c r="A5" s="15" t="s">
        <v>52</v>
      </c>
      <c r="B5" s="15" t="s">
        <v>53</v>
      </c>
      <c r="C5" s="15" t="s">
        <v>54</v>
      </c>
      <c r="D5" s="15" t="s">
        <v>55</v>
      </c>
      <c r="E5" s="15" t="s">
        <v>56</v>
      </c>
      <c r="F5" s="15" t="s">
        <v>57</v>
      </c>
      <c r="G5" s="15" t="s">
        <v>58</v>
      </c>
      <c r="H5" s="15" t="s">
        <v>59</v>
      </c>
      <c r="I5" s="15" t="s">
        <v>60</v>
      </c>
      <c r="J5" s="2"/>
      <c r="K5" s="16" t="n">
        <f aca="false">$B$3-WEEKDAY($B$3,3)+0</f>
        <v>46391</v>
      </c>
      <c r="L5" s="16" t="n">
        <f aca="false">$B$3-WEEKDAY($B$3,3)+7</f>
        <v>46398</v>
      </c>
      <c r="M5" s="16" t="n">
        <f aca="false">$B$3-WEEKDAY($B$3,3)+14</f>
        <v>46405</v>
      </c>
      <c r="N5" s="16" t="n">
        <f aca="false">$B$3-WEEKDAY($B$3,3)+21</f>
        <v>46412</v>
      </c>
      <c r="O5" s="16" t="n">
        <f aca="false">$B$3-WEEKDAY($B$3,3)+28</f>
        <v>46419</v>
      </c>
      <c r="P5" s="16" t="n">
        <f aca="false">$B$3-WEEKDAY($B$3,3)+35</f>
        <v>46426</v>
      </c>
      <c r="Q5" s="16" t="n">
        <f aca="false">$B$3-WEEKDAY($B$3,3)+42</f>
        <v>46433</v>
      </c>
      <c r="R5" s="16" t="n">
        <f aca="false">$B$3-WEEKDAY($B$3,3)+49</f>
        <v>46440</v>
      </c>
      <c r="S5" s="16" t="n">
        <f aca="false">$B$3-WEEKDAY($B$3,3)+56</f>
        <v>46447</v>
      </c>
      <c r="T5" s="16" t="n">
        <f aca="false">$B$3-WEEKDAY($B$3,3)+63</f>
        <v>46454</v>
      </c>
      <c r="U5" s="16" t="n">
        <f aca="false">$B$3-WEEKDAY($B$3,3)+70</f>
        <v>46461</v>
      </c>
      <c r="V5" s="16" t="n">
        <f aca="false">$B$3-WEEKDAY($B$3,3)+77</f>
        <v>46468</v>
      </c>
      <c r="W5" s="16" t="n">
        <f aca="false">$B$3-WEEKDAY($B$3,3)+84</f>
        <v>46475</v>
      </c>
      <c r="X5" s="16" t="n">
        <f aca="false">$B$3-WEEKDAY($B$3,3)+91</f>
        <v>46482</v>
      </c>
      <c r="Y5" s="16" t="n">
        <f aca="false">$B$3-WEEKDAY($B$3,3)+98</f>
        <v>46489</v>
      </c>
      <c r="Z5" s="16" t="n">
        <f aca="false">$B$3-WEEKDAY($B$3,3)+105</f>
        <v>46496</v>
      </c>
      <c r="AA5" s="16" t="n">
        <f aca="false">$B$3-WEEKDAY($B$3,3)+112</f>
        <v>46503</v>
      </c>
      <c r="AB5" s="16" t="n">
        <f aca="false">$B$3-WEEKDAY($B$3,3)+119</f>
        <v>46510</v>
      </c>
      <c r="AC5" s="16" t="n">
        <f aca="false">$B$3-WEEKDAY($B$3,3)+126</f>
        <v>46517</v>
      </c>
      <c r="AD5" s="16" t="n">
        <f aca="false">$B$3-WEEKDAY($B$3,3)+133</f>
        <v>46524</v>
      </c>
      <c r="AE5" s="16" t="n">
        <f aca="false">$B$3-WEEKDAY($B$3,3)+140</f>
        <v>46531</v>
      </c>
      <c r="AF5" s="16" t="n">
        <f aca="false">$B$3-WEEKDAY($B$3,3)+147</f>
        <v>46538</v>
      </c>
      <c r="AG5" s="16" t="n">
        <f aca="false">$B$3-WEEKDAY($B$3,3)+154</f>
        <v>46545</v>
      </c>
      <c r="AH5" s="16" t="n">
        <f aca="false">$B$3-WEEKDAY($B$3,3)+161</f>
        <v>46552</v>
      </c>
      <c r="AI5" s="16" t="n">
        <f aca="false">$B$3-WEEKDAY($B$3,3)+168</f>
        <v>46559</v>
      </c>
      <c r="AJ5" s="16" t="n">
        <f aca="false">$B$3-WEEKDAY($B$3,3)+175</f>
        <v>46566</v>
      </c>
      <c r="AK5" s="16" t="n">
        <f aca="false">$B$3-WEEKDAY($B$3,3)+182</f>
        <v>46573</v>
      </c>
      <c r="AL5" s="16" t="n">
        <f aca="false">$B$3-WEEKDAY($B$3,3)+189</f>
        <v>46580</v>
      </c>
    </row>
    <row r="6" customFormat="false" ht="15" hidden="false" customHeight="false" outlineLevel="0" collapsed="false">
      <c r="A6" s="17" t="s">
        <v>61</v>
      </c>
      <c r="B6" s="17" t="s">
        <v>62</v>
      </c>
      <c r="C6" s="17"/>
      <c r="D6" s="17" t="n">
        <f aca="false">NETWORKDAYS(F6,G6,$H$3:$I$3)</f>
        <v>21</v>
      </c>
      <c r="E6" s="17"/>
      <c r="F6" s="18" t="n">
        <f aca="false">MIN(F7:F14)</f>
        <v>46391</v>
      </c>
      <c r="G6" s="18" t="n">
        <f aca="false">MAX(G7:G14)</f>
        <v>46419</v>
      </c>
      <c r="H6" s="19" t="n">
        <f aca="false">IFERROR(SUMPRODUCT(D7:D14,H7:H14)/SUM(D7:D14),0)</f>
        <v>1</v>
      </c>
      <c r="I6" s="1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customFormat="false" ht="15" hidden="false" customHeight="false" outlineLevel="0" collapsed="false">
      <c r="A7" s="20" t="s">
        <v>63</v>
      </c>
      <c r="B7" s="20" t="s">
        <v>64</v>
      </c>
      <c r="C7" s="20" t="s">
        <v>65</v>
      </c>
      <c r="D7" s="21" t="n">
        <v>1</v>
      </c>
      <c r="E7" s="21"/>
      <c r="F7" s="22" t="n">
        <f aca="false">$B$3</f>
        <v>46391</v>
      </c>
      <c r="G7" s="22" t="n">
        <f aca="false">IF(D7=0,F7,WORKDAY(F7,D7-1,$H$3:$I$3))</f>
        <v>46391</v>
      </c>
      <c r="H7" s="23" t="n">
        <v>1</v>
      </c>
      <c r="I7" s="20" t="str">
        <f aca="false">IF(H7&gt;=1,"Done",IF(G7&lt;$E$3,"LATE",IF(F7&lt;=$E$3,"In progress","Not started")))</f>
        <v>Done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customFormat="false" ht="15" hidden="false" customHeight="false" outlineLevel="0" collapsed="false">
      <c r="A8" s="20" t="s">
        <v>66</v>
      </c>
      <c r="B8" s="20" t="s">
        <v>67</v>
      </c>
      <c r="C8" s="20" t="s">
        <v>68</v>
      </c>
      <c r="D8" s="21" t="n">
        <v>3</v>
      </c>
      <c r="E8" s="21" t="s">
        <v>63</v>
      </c>
      <c r="F8" s="22" t="n">
        <f aca="false">WORKDAY(MAX(G7),1,$H$3:$I$3)</f>
        <v>46392</v>
      </c>
      <c r="G8" s="22" t="n">
        <f aca="false">IF(D8=0,F8,WORKDAY(F8,D8-1,$H$3:$I$3))</f>
        <v>46394</v>
      </c>
      <c r="H8" s="23" t="n">
        <v>1</v>
      </c>
      <c r="I8" s="20" t="str">
        <f aca="false">IF(H8&gt;=1,"Done",IF(G8&lt;$E$3,"LATE",IF(F8&lt;=$E$3,"In progress","Not started")))</f>
        <v>Done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customFormat="false" ht="15" hidden="false" customHeight="false" outlineLevel="0" collapsed="false">
      <c r="A9" s="20" t="s">
        <v>69</v>
      </c>
      <c r="B9" s="20" t="s">
        <v>70</v>
      </c>
      <c r="C9" s="20" t="s">
        <v>65</v>
      </c>
      <c r="D9" s="21" t="n">
        <v>2</v>
      </c>
      <c r="E9" s="21" t="s">
        <v>66</v>
      </c>
      <c r="F9" s="22" t="n">
        <f aca="false">WORKDAY(MAX(G8),1,$H$3:$I$3)</f>
        <v>46395</v>
      </c>
      <c r="G9" s="22" t="n">
        <f aca="false">IF(D9=0,F9,WORKDAY(F9,D9-1,$H$3:$I$3))</f>
        <v>46398</v>
      </c>
      <c r="H9" s="23" t="n">
        <v>1</v>
      </c>
      <c r="I9" s="20" t="str">
        <f aca="false">IF(H9&gt;=1,"Done",IF(G9&lt;$E$3,"LATE",IF(F9&lt;=$E$3,"In progress","Not started")))</f>
        <v>Done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customFormat="false" ht="15" hidden="false" customHeight="false" outlineLevel="0" collapsed="false">
      <c r="A10" s="20" t="s">
        <v>71</v>
      </c>
      <c r="B10" s="20" t="s">
        <v>72</v>
      </c>
      <c r="C10" s="20" t="s">
        <v>65</v>
      </c>
      <c r="D10" s="21" t="n">
        <v>4</v>
      </c>
      <c r="E10" s="21" t="s">
        <v>69</v>
      </c>
      <c r="F10" s="22" t="n">
        <f aca="false">WORKDAY(MAX(G9),1,$H$3:$I$3)</f>
        <v>46399</v>
      </c>
      <c r="G10" s="22" t="n">
        <f aca="false">IF(D10=0,F10,WORKDAY(F10,D10-1,$H$3:$I$3))</f>
        <v>46402</v>
      </c>
      <c r="H10" s="23" t="n">
        <v>1</v>
      </c>
      <c r="I10" s="20" t="str">
        <f aca="false">IF(H10&gt;=1,"Done",IF(G10&lt;$E$3,"LATE",IF(F10&lt;=$E$3,"In progress","Not started")))</f>
        <v>Done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customFormat="false" ht="15" hidden="false" customHeight="false" outlineLevel="0" collapsed="false">
      <c r="A11" s="20" t="s">
        <v>73</v>
      </c>
      <c r="B11" s="20" t="s">
        <v>74</v>
      </c>
      <c r="C11" s="20" t="s">
        <v>75</v>
      </c>
      <c r="D11" s="21" t="n">
        <v>1</v>
      </c>
      <c r="E11" s="21" t="s">
        <v>71</v>
      </c>
      <c r="F11" s="22" t="n">
        <f aca="false">WORKDAY(MAX(G10),1,$H$3:$I$3)</f>
        <v>46405</v>
      </c>
      <c r="G11" s="22" t="n">
        <f aca="false">IF(D11=0,F11,WORKDAY(F11,D11-1,$H$3:$I$3))</f>
        <v>46405</v>
      </c>
      <c r="H11" s="23" t="n">
        <v>1</v>
      </c>
      <c r="I11" s="20" t="str">
        <f aca="false">IF(H11&gt;=1,"Done",IF(G11&lt;$E$3,"LATE",IF(F11&lt;=$E$3,"In progress","Not started")))</f>
        <v>Done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customFormat="false" ht="15" hidden="false" customHeight="false" outlineLevel="0" collapsed="false">
      <c r="A12" s="20" t="s">
        <v>76</v>
      </c>
      <c r="B12" s="20" t="s">
        <v>77</v>
      </c>
      <c r="C12" s="20" t="s">
        <v>65</v>
      </c>
      <c r="D12" s="21" t="n">
        <v>0</v>
      </c>
      <c r="E12" s="21" t="s">
        <v>73</v>
      </c>
      <c r="F12" s="22" t="n">
        <f aca="false">MAX(G11)</f>
        <v>46405</v>
      </c>
      <c r="G12" s="22" t="n">
        <f aca="false">IF(D12=0,F12,WORKDAY(F12,D12-1,$H$3:$I$3))</f>
        <v>46405</v>
      </c>
      <c r="H12" s="23" t="n">
        <v>1</v>
      </c>
      <c r="I12" s="20" t="str">
        <f aca="false">IF(H12&gt;=1,"Done",IF(G12&lt;$E$3,"LATE",IF(F12&lt;=$E$3,"In progress","Not started")))</f>
        <v>Done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customFormat="false" ht="15" hidden="false" customHeight="false" outlineLevel="0" collapsed="false">
      <c r="A13" s="20" t="s">
        <v>78</v>
      </c>
      <c r="B13" s="20" t="s">
        <v>79</v>
      </c>
      <c r="C13" s="20" t="s">
        <v>75</v>
      </c>
      <c r="D13" s="21" t="n">
        <v>10</v>
      </c>
      <c r="E13" s="21" t="s">
        <v>76</v>
      </c>
      <c r="F13" s="22" t="n">
        <f aca="false">WORKDAY(MAX(G12),1,$H$3:$I$3)</f>
        <v>46406</v>
      </c>
      <c r="G13" s="22" t="n">
        <f aca="false">IF(D13=0,F13,WORKDAY(F13,D13-1,$H$3:$I$3))</f>
        <v>46419</v>
      </c>
      <c r="H13" s="23" t="n">
        <v>1</v>
      </c>
      <c r="I13" s="20" t="str">
        <f aca="false">IF(H13&gt;=1,"Done",IF(G13&lt;$E$3,"LATE",IF(F13&lt;=$E$3,"In progress","Not started")))</f>
        <v>Done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customFormat="false" ht="15" hidden="false" customHeight="false" outlineLevel="0" collapsed="false">
      <c r="A14" s="20" t="s">
        <v>80</v>
      </c>
      <c r="B14" s="20" t="s">
        <v>81</v>
      </c>
      <c r="C14" s="20" t="s">
        <v>65</v>
      </c>
      <c r="D14" s="21" t="n">
        <v>0</v>
      </c>
      <c r="E14" s="21" t="s">
        <v>78</v>
      </c>
      <c r="F14" s="22" t="n">
        <f aca="false">MAX(G13)</f>
        <v>46419</v>
      </c>
      <c r="G14" s="22" t="n">
        <f aca="false">IF(D14=0,F14,WORKDAY(F14,D14-1,$H$3:$I$3))</f>
        <v>46419</v>
      </c>
      <c r="H14" s="23" t="n">
        <v>1</v>
      </c>
      <c r="I14" s="20" t="str">
        <f aca="false">IF(H14&gt;=1,"Done",IF(G14&lt;$E$3,"LATE",IF(F14&lt;=$E$3,"In progress","Not started")))</f>
        <v>Done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customFormat="false" ht="15" hidden="false" customHeight="false" outlineLevel="0" collapsed="false">
      <c r="A15" s="17" t="s">
        <v>82</v>
      </c>
      <c r="B15" s="17" t="s">
        <v>83</v>
      </c>
      <c r="C15" s="17"/>
      <c r="D15" s="17" t="n">
        <f aca="false">NETWORKDAYS(F15,G15,$H$3:$I$3)</f>
        <v>5</v>
      </c>
      <c r="E15" s="17"/>
      <c r="F15" s="18" t="n">
        <f aca="false">MIN(F16:F19)</f>
        <v>46420</v>
      </c>
      <c r="G15" s="18" t="n">
        <f aca="false">MAX(G16:G19)</f>
        <v>46426</v>
      </c>
      <c r="H15" s="19" t="n">
        <f aca="false">IFERROR(SUMPRODUCT(D16:D19,H16:H19)/SUM(D16:D19),0)</f>
        <v>1</v>
      </c>
      <c r="I15" s="1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customFormat="false" ht="15" hidden="false" customHeight="false" outlineLevel="0" collapsed="false">
      <c r="A16" s="20" t="s">
        <v>84</v>
      </c>
      <c r="B16" s="20" t="s">
        <v>85</v>
      </c>
      <c r="C16" s="20" t="s">
        <v>65</v>
      </c>
      <c r="D16" s="21" t="n">
        <v>2</v>
      </c>
      <c r="E16" s="21" t="s">
        <v>80</v>
      </c>
      <c r="F16" s="22" t="n">
        <f aca="false">WORKDAY(MAX(G14),1,$H$3:$I$3)</f>
        <v>46420</v>
      </c>
      <c r="G16" s="22" t="n">
        <f aca="false">IF(D16=0,F16,WORKDAY(F16,D16-1,$H$3:$I$3))</f>
        <v>46421</v>
      </c>
      <c r="H16" s="23" t="n">
        <v>1</v>
      </c>
      <c r="I16" s="20" t="str">
        <f aca="false">IF(H16&gt;=1,"Done",IF(G16&lt;$E$3,"LATE",IF(F16&lt;=$E$3,"In progress","Not started")))</f>
        <v>Done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customFormat="false" ht="15" hidden="false" customHeight="false" outlineLevel="0" collapsed="false">
      <c r="A17" s="20" t="s">
        <v>86</v>
      </c>
      <c r="B17" s="20" t="s">
        <v>87</v>
      </c>
      <c r="C17" s="20" t="s">
        <v>65</v>
      </c>
      <c r="D17" s="21" t="n">
        <v>0</v>
      </c>
      <c r="E17" s="21" t="s">
        <v>84</v>
      </c>
      <c r="F17" s="22" t="n">
        <f aca="false">MAX(G16)</f>
        <v>46421</v>
      </c>
      <c r="G17" s="22" t="n">
        <f aca="false">IF(D17=0,F17,WORKDAY(F17,D17-1,$H$3:$I$3))</f>
        <v>46421</v>
      </c>
      <c r="H17" s="23" t="n">
        <v>1</v>
      </c>
      <c r="I17" s="20" t="str">
        <f aca="false">IF(H17&gt;=1,"Done",IF(G17&lt;$E$3,"LATE",IF(F17&lt;=$E$3,"In progress","Not started")))</f>
        <v>Done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customFormat="false" ht="15" hidden="false" customHeight="false" outlineLevel="0" collapsed="false">
      <c r="A18" s="20" t="s">
        <v>88</v>
      </c>
      <c r="B18" s="20" t="s">
        <v>89</v>
      </c>
      <c r="C18" s="20" t="s">
        <v>65</v>
      </c>
      <c r="D18" s="21" t="n">
        <v>2</v>
      </c>
      <c r="E18" s="21" t="s">
        <v>86</v>
      </c>
      <c r="F18" s="22" t="n">
        <f aca="false">WORKDAY(MAX(G17),1,$H$3:$I$3)</f>
        <v>46422</v>
      </c>
      <c r="G18" s="22" t="n">
        <f aca="false">IF(D18=0,F18,WORKDAY(F18,D18-1,$H$3:$I$3))</f>
        <v>46423</v>
      </c>
      <c r="H18" s="23" t="n">
        <v>1</v>
      </c>
      <c r="I18" s="20" t="str">
        <f aca="false">IF(H18&gt;=1,"Done",IF(G18&lt;$E$3,"LATE",IF(F18&lt;=$E$3,"In progress","Not started")))</f>
        <v>Done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customFormat="false" ht="15" hidden="false" customHeight="false" outlineLevel="0" collapsed="false">
      <c r="A19" s="20" t="s">
        <v>90</v>
      </c>
      <c r="B19" s="20" t="s">
        <v>91</v>
      </c>
      <c r="C19" s="20" t="s">
        <v>65</v>
      </c>
      <c r="D19" s="21" t="n">
        <v>1</v>
      </c>
      <c r="E19" s="21" t="s">
        <v>88</v>
      </c>
      <c r="F19" s="22" t="n">
        <f aca="false">WORKDAY(MAX(G18),1,$H$3:$I$3)</f>
        <v>46426</v>
      </c>
      <c r="G19" s="22" t="n">
        <f aca="false">IF(D19=0,F19,WORKDAY(F19,D19-1,$H$3:$I$3))</f>
        <v>46426</v>
      </c>
      <c r="H19" s="23" t="n">
        <v>1</v>
      </c>
      <c r="I19" s="20" t="str">
        <f aca="false">IF(H19&gt;=1,"Done",IF(G19&lt;$E$3,"LATE",IF(F19&lt;=$E$3,"In progress","Not started")))</f>
        <v>Done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customFormat="false" ht="15" hidden="false" customHeight="false" outlineLevel="0" collapsed="false">
      <c r="A20" s="17" t="s">
        <v>92</v>
      </c>
      <c r="B20" s="17" t="s">
        <v>93</v>
      </c>
      <c r="C20" s="17"/>
      <c r="D20" s="17" t="n">
        <f aca="false">NETWORKDAYS(F20,G20,$H$3:$I$3)</f>
        <v>27</v>
      </c>
      <c r="E20" s="17"/>
      <c r="F20" s="18" t="n">
        <f aca="false">MIN(F21:F24)</f>
        <v>46422</v>
      </c>
      <c r="G20" s="18" t="n">
        <f aca="false">MAX(G21:G24)</f>
        <v>46458</v>
      </c>
      <c r="H20" s="19" t="n">
        <f aca="false">IFERROR(SUMPRODUCT(D21:D24,H21:H24)/SUM(D21:D24),0)</f>
        <v>1</v>
      </c>
      <c r="I20" s="1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customFormat="false" ht="15" hidden="false" customHeight="false" outlineLevel="0" collapsed="false">
      <c r="A21" s="20" t="s">
        <v>94</v>
      </c>
      <c r="B21" s="20" t="s">
        <v>95</v>
      </c>
      <c r="C21" s="20" t="s">
        <v>96</v>
      </c>
      <c r="D21" s="21" t="n">
        <v>15</v>
      </c>
      <c r="E21" s="21" t="s">
        <v>86</v>
      </c>
      <c r="F21" s="22" t="n">
        <f aca="false">WORKDAY(MAX(G17),1,$H$3:$I$3)</f>
        <v>46422</v>
      </c>
      <c r="G21" s="22" t="n">
        <f aca="false">IF(D21=0,F21,WORKDAY(F21,D21-1,$H$3:$I$3))</f>
        <v>46442</v>
      </c>
      <c r="H21" s="23" t="n">
        <v>1</v>
      </c>
      <c r="I21" s="20" t="str">
        <f aca="false">IF(H21&gt;=1,"Done",IF(G21&lt;$E$3,"LATE",IF(F21&lt;=$E$3,"In progress","Not started")))</f>
        <v>Done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customFormat="false" ht="15" hidden="false" customHeight="false" outlineLevel="0" collapsed="false">
      <c r="A22" s="20" t="s">
        <v>97</v>
      </c>
      <c r="B22" s="20" t="s">
        <v>98</v>
      </c>
      <c r="C22" s="20" t="s">
        <v>99</v>
      </c>
      <c r="D22" s="21" t="n">
        <v>15</v>
      </c>
      <c r="E22" s="21" t="s">
        <v>86</v>
      </c>
      <c r="F22" s="22" t="n">
        <f aca="false">WORKDAY(MAX(G17),1,$H$3:$I$3)</f>
        <v>46422</v>
      </c>
      <c r="G22" s="22" t="n">
        <f aca="false">IF(D22=0,F22,WORKDAY(F22,D22-1,$H$3:$I$3))</f>
        <v>46442</v>
      </c>
      <c r="H22" s="23" t="n">
        <v>1</v>
      </c>
      <c r="I22" s="20" t="str">
        <f aca="false">IF(H22&gt;=1,"Done",IF(G22&lt;$E$3,"LATE",IF(F22&lt;=$E$3,"In progress","Not started")))</f>
        <v>Done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customFormat="false" ht="15" hidden="false" customHeight="false" outlineLevel="0" collapsed="false">
      <c r="A23" s="20" t="s">
        <v>100</v>
      </c>
      <c r="B23" s="20" t="s">
        <v>101</v>
      </c>
      <c r="C23" s="20" t="s">
        <v>68</v>
      </c>
      <c r="D23" s="21" t="n">
        <v>12</v>
      </c>
      <c r="E23" s="21" t="s">
        <v>94</v>
      </c>
      <c r="F23" s="22" t="n">
        <f aca="false">WORKDAY(MAX(G21),1,$H$3:$I$3)</f>
        <v>46443</v>
      </c>
      <c r="G23" s="22" t="n">
        <f aca="false">IF(D23=0,F23,WORKDAY(F23,D23-1,$H$3:$I$3))</f>
        <v>46458</v>
      </c>
      <c r="H23" s="23" t="n">
        <v>1</v>
      </c>
      <c r="I23" s="20" t="str">
        <f aca="false">IF(H23&gt;=1,"Done",IF(G23&lt;$E$3,"LATE",IF(F23&lt;=$E$3,"In progress","Not started")))</f>
        <v>Done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customFormat="false" ht="15" hidden="false" customHeight="false" outlineLevel="0" collapsed="false">
      <c r="A24" s="20" t="s">
        <v>102</v>
      </c>
      <c r="B24" s="20" t="s">
        <v>103</v>
      </c>
      <c r="C24" s="20" t="s">
        <v>65</v>
      </c>
      <c r="D24" s="21" t="n">
        <v>0</v>
      </c>
      <c r="E24" s="21" t="s">
        <v>104</v>
      </c>
      <c r="F24" s="22" t="n">
        <f aca="false">MAX(G21,G22)</f>
        <v>46442</v>
      </c>
      <c r="G24" s="22" t="n">
        <f aca="false">IF(D24=0,F24,WORKDAY(F24,D24-1,$H$3:$I$3))</f>
        <v>46442</v>
      </c>
      <c r="H24" s="23" t="n">
        <v>1</v>
      </c>
      <c r="I24" s="20" t="str">
        <f aca="false">IF(H24&gt;=1,"Done",IF(G24&lt;$E$3,"LATE",IF(F24&lt;=$E$3,"In progress","Not started")))</f>
        <v>Done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customFormat="false" ht="15" hidden="false" customHeight="false" outlineLevel="0" collapsed="false">
      <c r="A25" s="17" t="s">
        <v>105</v>
      </c>
      <c r="B25" s="17" t="s">
        <v>106</v>
      </c>
      <c r="C25" s="17"/>
      <c r="D25" s="17" t="n">
        <f aca="false">NETWORKDAYS(F25,G25,$H$3:$I$3)</f>
        <v>45</v>
      </c>
      <c r="E25" s="17"/>
      <c r="F25" s="18" t="n">
        <f aca="false">MIN(F26:F28)</f>
        <v>46422</v>
      </c>
      <c r="G25" s="18" t="n">
        <f aca="false">MAX(G26:G28)</f>
        <v>46484</v>
      </c>
      <c r="H25" s="19" t="n">
        <f aca="false">IFERROR(SUMPRODUCT(D26:D28,H26:H28)/SUM(D26:D28),0)</f>
        <v>0.916666666666667</v>
      </c>
      <c r="I25" s="17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customFormat="false" ht="15" hidden="false" customHeight="false" outlineLevel="0" collapsed="false">
      <c r="A26" s="20" t="s">
        <v>107</v>
      </c>
      <c r="B26" s="20" t="s">
        <v>108</v>
      </c>
      <c r="C26" s="20" t="s">
        <v>109</v>
      </c>
      <c r="D26" s="21" t="n">
        <v>40</v>
      </c>
      <c r="E26" s="21" t="s">
        <v>86</v>
      </c>
      <c r="F26" s="22" t="n">
        <f aca="false">WORKDAY(MAX(G17),1,$H$3:$I$3)</f>
        <v>46422</v>
      </c>
      <c r="G26" s="22" t="n">
        <f aca="false">IF(D26=0,F26,WORKDAY(F26,D26-1,$H$3:$I$3))</f>
        <v>46477</v>
      </c>
      <c r="H26" s="23" t="n">
        <v>1</v>
      </c>
      <c r="I26" s="20" t="str">
        <f aca="false">IF(H26&gt;=1,"Done",IF(G26&lt;$E$3,"LATE",IF(F26&lt;=$E$3,"In progress","Not started")))</f>
        <v>Done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customFormat="false" ht="15" hidden="false" customHeight="false" outlineLevel="0" collapsed="false">
      <c r="A27" s="20" t="s">
        <v>110</v>
      </c>
      <c r="B27" s="20" t="s">
        <v>111</v>
      </c>
      <c r="C27" s="20" t="s">
        <v>109</v>
      </c>
      <c r="D27" s="21" t="n">
        <v>30</v>
      </c>
      <c r="E27" s="21" t="s">
        <v>102</v>
      </c>
      <c r="F27" s="22" t="n">
        <f aca="false">WORKDAY(MAX(G24),1,$H$3:$I$3)</f>
        <v>46443</v>
      </c>
      <c r="G27" s="22" t="n">
        <f aca="false">IF(D27=0,F27,WORKDAY(F27,D27-1,$H$3:$I$3))</f>
        <v>46484</v>
      </c>
      <c r="H27" s="23" t="n">
        <v>0.75</v>
      </c>
      <c r="I27" s="20" t="str">
        <f aca="false">IF(H27&gt;=1,"Done",IF(G27&lt;$E$3,"LATE",IF(F27&lt;=$E$3,"In progress","Not started")))</f>
        <v>LATE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customFormat="false" ht="15" hidden="false" customHeight="false" outlineLevel="0" collapsed="false">
      <c r="A28" s="20" t="s">
        <v>112</v>
      </c>
      <c r="B28" s="20" t="s">
        <v>113</v>
      </c>
      <c r="C28" s="20" t="s">
        <v>109</v>
      </c>
      <c r="D28" s="21" t="n">
        <v>20</v>
      </c>
      <c r="E28" s="21" t="s">
        <v>102</v>
      </c>
      <c r="F28" s="22" t="n">
        <f aca="false">WORKDAY(MAX(G24),1,$H$3:$I$3)</f>
        <v>46443</v>
      </c>
      <c r="G28" s="22" t="n">
        <f aca="false">IF(D28=0,F28,WORKDAY(F28,D28-1,$H$3:$I$3))</f>
        <v>46470</v>
      </c>
      <c r="H28" s="23" t="n">
        <v>1</v>
      </c>
      <c r="I28" s="20" t="str">
        <f aca="false">IF(H28&gt;=1,"Done",IF(G28&lt;$E$3,"LATE",IF(F28&lt;=$E$3,"In progress","Not started")))</f>
        <v>Done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customFormat="false" ht="15" hidden="false" customHeight="false" outlineLevel="0" collapsed="false">
      <c r="A29" s="17" t="s">
        <v>114</v>
      </c>
      <c r="B29" s="17" t="s">
        <v>115</v>
      </c>
      <c r="C29" s="17"/>
      <c r="D29" s="17" t="n">
        <f aca="false">NETWORKDAYS(F29,G29,$H$3:$I$3)</f>
        <v>37</v>
      </c>
      <c r="E29" s="17"/>
      <c r="F29" s="18" t="n">
        <f aca="false">MIN(F30:F33)</f>
        <v>46471</v>
      </c>
      <c r="G29" s="18" t="n">
        <f aca="false">MAX(G30:G33)</f>
        <v>46521</v>
      </c>
      <c r="H29" s="19" t="n">
        <f aca="false">IFERROR(SUMPRODUCT(D30:D33,H30:H33)/SUM(D30:D33),0)</f>
        <v>0.498387096774194</v>
      </c>
      <c r="I29" s="17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customFormat="false" ht="15" hidden="false" customHeight="false" outlineLevel="0" collapsed="false">
      <c r="A30" s="20" t="s">
        <v>116</v>
      </c>
      <c r="B30" s="20" t="s">
        <v>117</v>
      </c>
      <c r="C30" s="20" t="s">
        <v>118</v>
      </c>
      <c r="D30" s="21" t="n">
        <v>20</v>
      </c>
      <c r="E30" s="21" t="s">
        <v>107</v>
      </c>
      <c r="F30" s="22" t="n">
        <f aca="false">WORKDAY(MAX(G26),1,$H$3:$I$3)</f>
        <v>46478</v>
      </c>
      <c r="G30" s="22" t="n">
        <f aca="false">IF(D30=0,F30,WORKDAY(F30,D30-1,$H$3:$I$3))</f>
        <v>46505</v>
      </c>
      <c r="H30" s="23" t="n">
        <v>0.55</v>
      </c>
      <c r="I30" s="20" t="str">
        <f aca="false">IF(H30&gt;=1,"Done",IF(G30&lt;$E$3,"LATE",IF(F30&lt;=$E$3,"In progress","Not started")))</f>
        <v>In progress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customFormat="false" ht="15" hidden="false" customHeight="false" outlineLevel="0" collapsed="false">
      <c r="A31" s="20" t="s">
        <v>119</v>
      </c>
      <c r="B31" s="20" t="s">
        <v>120</v>
      </c>
      <c r="C31" s="20" t="s">
        <v>118</v>
      </c>
      <c r="D31" s="21" t="n">
        <v>22</v>
      </c>
      <c r="E31" s="21" t="s">
        <v>107</v>
      </c>
      <c r="F31" s="22" t="n">
        <f aca="false">WORKDAY(MAX(G26),1,$H$3:$I$3)</f>
        <v>46478</v>
      </c>
      <c r="G31" s="22" t="n">
        <f aca="false">IF(D31=0,F31,WORKDAY(F31,D31-1,$H$3:$I$3))</f>
        <v>46507</v>
      </c>
      <c r="H31" s="23" t="n">
        <v>0.45</v>
      </c>
      <c r="I31" s="20" t="str">
        <f aca="false">IF(H31&gt;=1,"Done",IF(G31&lt;$E$3,"LATE",IF(F31&lt;=$E$3,"In progress","Not started")))</f>
        <v>In progress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customFormat="false" ht="15" hidden="false" customHeight="false" outlineLevel="0" collapsed="false">
      <c r="A32" s="20" t="s">
        <v>121</v>
      </c>
      <c r="B32" s="20" t="s">
        <v>122</v>
      </c>
      <c r="C32" s="20" t="s">
        <v>123</v>
      </c>
      <c r="D32" s="21" t="n">
        <v>10</v>
      </c>
      <c r="E32" s="21" t="s">
        <v>112</v>
      </c>
      <c r="F32" s="22" t="n">
        <f aca="false">WORKDAY(MAX(G28),1,$H$3:$I$3)</f>
        <v>46471</v>
      </c>
      <c r="G32" s="22" t="n">
        <f aca="false">IF(D32=0,F32,WORKDAY(F32,D32-1,$H$3:$I$3))</f>
        <v>46484</v>
      </c>
      <c r="H32" s="23" t="n">
        <v>1</v>
      </c>
      <c r="I32" s="20" t="str">
        <f aca="false">IF(H32&gt;=1,"Done",IF(G32&lt;$E$3,"LATE",IF(F32&lt;=$E$3,"In progress","Not started")))</f>
        <v>Done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customFormat="false" ht="15" hidden="false" customHeight="false" outlineLevel="0" collapsed="false">
      <c r="A33" s="20" t="s">
        <v>124</v>
      </c>
      <c r="B33" s="20" t="s">
        <v>125</v>
      </c>
      <c r="C33" s="20" t="s">
        <v>126</v>
      </c>
      <c r="D33" s="21" t="n">
        <v>10</v>
      </c>
      <c r="E33" s="21" t="s">
        <v>127</v>
      </c>
      <c r="F33" s="22" t="n">
        <f aca="false">WORKDAY(MAX(G30,G31,G32,G27),1,$H$3:$I$3)</f>
        <v>46510</v>
      </c>
      <c r="G33" s="22" t="n">
        <f aca="false">IF(D33=0,F33,WORKDAY(F33,D33-1,$H$3:$I$3))</f>
        <v>46521</v>
      </c>
      <c r="H33" s="23" t="n">
        <v>0</v>
      </c>
      <c r="I33" s="20" t="str">
        <f aca="false">IF(H33&gt;=1,"Done",IF(G33&lt;$E$3,"LATE",IF(F33&lt;=$E$3,"In progress","Not started")))</f>
        <v>Not started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customFormat="false" ht="15" hidden="false" customHeight="false" outlineLevel="0" collapsed="false">
      <c r="A34" s="17" t="s">
        <v>128</v>
      </c>
      <c r="B34" s="17" t="s">
        <v>129</v>
      </c>
      <c r="C34" s="17"/>
      <c r="D34" s="17" t="n">
        <f aca="false">NETWORKDAYS(F34,G34,$H$3:$I$3)</f>
        <v>8</v>
      </c>
      <c r="E34" s="17"/>
      <c r="F34" s="18" t="n">
        <f aca="false">MIN(F35:F37)</f>
        <v>46524</v>
      </c>
      <c r="G34" s="18" t="n">
        <f aca="false">MAX(G35:G37)</f>
        <v>46533</v>
      </c>
      <c r="H34" s="19" t="n">
        <f aca="false">IFERROR(SUMPRODUCT(D35:D37,H35:H37)/SUM(D35:D37),0)</f>
        <v>0</v>
      </c>
      <c r="I34" s="17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customFormat="false" ht="15" hidden="false" customHeight="false" outlineLevel="0" collapsed="false">
      <c r="A35" s="20" t="s">
        <v>130</v>
      </c>
      <c r="B35" s="20" t="s">
        <v>131</v>
      </c>
      <c r="C35" s="20" t="s">
        <v>123</v>
      </c>
      <c r="D35" s="21" t="n">
        <v>3</v>
      </c>
      <c r="E35" s="21" t="s">
        <v>124</v>
      </c>
      <c r="F35" s="22" t="n">
        <f aca="false">WORKDAY(MAX(G33),1,$H$3:$I$3)</f>
        <v>46524</v>
      </c>
      <c r="G35" s="22" t="n">
        <f aca="false">IF(D35=0,F35,WORKDAY(F35,D35-1,$H$3:$I$3))</f>
        <v>46526</v>
      </c>
      <c r="H35" s="23" t="n">
        <v>0</v>
      </c>
      <c r="I35" s="20" t="str">
        <f aca="false">IF(H35&gt;=1,"Done",IF(G35&lt;$E$3,"LATE",IF(F35&lt;=$E$3,"In progress","Not started")))</f>
        <v>Not started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customFormat="false" ht="15" hidden="false" customHeight="false" outlineLevel="0" collapsed="false">
      <c r="A36" s="20" t="s">
        <v>132</v>
      </c>
      <c r="B36" s="20" t="s">
        <v>133</v>
      </c>
      <c r="C36" s="20" t="s">
        <v>68</v>
      </c>
      <c r="D36" s="21" t="n">
        <v>5</v>
      </c>
      <c r="E36" s="21" t="s">
        <v>134</v>
      </c>
      <c r="F36" s="22" t="n">
        <f aca="false">WORKDAY(MAX(G35,G23),1,$H$3:$I$3)</f>
        <v>46527</v>
      </c>
      <c r="G36" s="22" t="n">
        <f aca="false">IF(D36=0,F36,WORKDAY(F36,D36-1,$H$3:$I$3))</f>
        <v>46533</v>
      </c>
      <c r="H36" s="23" t="n">
        <v>0</v>
      </c>
      <c r="I36" s="20" t="str">
        <f aca="false">IF(H36&gt;=1,"Done",IF(G36&lt;$E$3,"LATE",IF(F36&lt;=$E$3,"In progress","Not started")))</f>
        <v>Not started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customFormat="false" ht="15" hidden="false" customHeight="false" outlineLevel="0" collapsed="false">
      <c r="A37" s="20" t="s">
        <v>135</v>
      </c>
      <c r="B37" s="20" t="s">
        <v>136</v>
      </c>
      <c r="C37" s="20" t="s">
        <v>65</v>
      </c>
      <c r="D37" s="21" t="n">
        <v>0</v>
      </c>
      <c r="E37" s="21" t="s">
        <v>132</v>
      </c>
      <c r="F37" s="22" t="n">
        <f aca="false">MAX(G36)</f>
        <v>46533</v>
      </c>
      <c r="G37" s="22" t="n">
        <f aca="false">IF(D37=0,F37,WORKDAY(F37,D37-1,$H$3:$I$3))</f>
        <v>46533</v>
      </c>
      <c r="H37" s="23" t="n">
        <v>0</v>
      </c>
      <c r="I37" s="20" t="str">
        <f aca="false">IF(H37&gt;=1,"Done",IF(G37&lt;$E$3,"LATE",IF(F37&lt;=$E$3,"In progress","Not started")))</f>
        <v>Not started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customFormat="false" ht="15" hidden="false" customHeight="false" outlineLevel="0" collapsed="false">
      <c r="A38" s="17" t="s">
        <v>137</v>
      </c>
      <c r="B38" s="17" t="s">
        <v>138</v>
      </c>
      <c r="C38" s="17"/>
      <c r="D38" s="17" t="n">
        <f aca="false">NETWORKDAYS(F38,G38,$H$3:$I$3)</f>
        <v>25</v>
      </c>
      <c r="E38" s="17"/>
      <c r="F38" s="18" t="n">
        <f aca="false">MIN(F39:F43)</f>
        <v>46534</v>
      </c>
      <c r="G38" s="18" t="n">
        <f aca="false">MAX(G39:G43)</f>
        <v>46569</v>
      </c>
      <c r="H38" s="19" t="n">
        <f aca="false">IFERROR(SUMPRODUCT(D39:D43,H39:H43)/SUM(D39:D43),0)</f>
        <v>0</v>
      </c>
      <c r="I38" s="17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customFormat="false" ht="15" hidden="false" customHeight="false" outlineLevel="0" collapsed="false">
      <c r="A39" s="20" t="s">
        <v>139</v>
      </c>
      <c r="B39" s="20" t="s">
        <v>140</v>
      </c>
      <c r="C39" s="20" t="s">
        <v>141</v>
      </c>
      <c r="D39" s="21" t="n">
        <v>7</v>
      </c>
      <c r="E39" s="21" t="s">
        <v>135</v>
      </c>
      <c r="F39" s="22" t="n">
        <f aca="false">WORKDAY(MAX(G37),1,$H$3:$I$3)</f>
        <v>46534</v>
      </c>
      <c r="G39" s="22" t="n">
        <f aca="false">IF(D39=0,F39,WORKDAY(F39,D39-1,$H$3:$I$3))</f>
        <v>46545</v>
      </c>
      <c r="H39" s="23" t="n">
        <v>0</v>
      </c>
      <c r="I39" s="20" t="str">
        <f aca="false">IF(H39&gt;=1,"Done",IF(G39&lt;$E$3,"LATE",IF(F39&lt;=$E$3,"In progress","Not started")))</f>
        <v>Not started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customFormat="false" ht="15" hidden="false" customHeight="false" outlineLevel="0" collapsed="false">
      <c r="A40" s="20" t="s">
        <v>142</v>
      </c>
      <c r="B40" s="20" t="s">
        <v>143</v>
      </c>
      <c r="C40" s="20" t="s">
        <v>144</v>
      </c>
      <c r="D40" s="21" t="n">
        <v>10</v>
      </c>
      <c r="E40" s="21" t="s">
        <v>139</v>
      </c>
      <c r="F40" s="22" t="n">
        <f aca="false">WORKDAY(MAX(G39),1,$H$3:$I$3)</f>
        <v>46546</v>
      </c>
      <c r="G40" s="22" t="n">
        <f aca="false">IF(D40=0,F40,WORKDAY(F40,D40-1,$H$3:$I$3))</f>
        <v>46559</v>
      </c>
      <c r="H40" s="23" t="n">
        <v>0</v>
      </c>
      <c r="I40" s="20" t="str">
        <f aca="false">IF(H40&gt;=1,"Done",IF(G40&lt;$E$3,"LATE",IF(F40&lt;=$E$3,"In progress","Not started")))</f>
        <v>Not started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customFormat="false" ht="15" hidden="false" customHeight="false" outlineLevel="0" collapsed="false">
      <c r="A41" s="20" t="s">
        <v>145</v>
      </c>
      <c r="B41" s="20" t="s">
        <v>146</v>
      </c>
      <c r="C41" s="20" t="s">
        <v>68</v>
      </c>
      <c r="D41" s="21" t="n">
        <v>5</v>
      </c>
      <c r="E41" s="21" t="s">
        <v>142</v>
      </c>
      <c r="F41" s="22" t="n">
        <f aca="false">WORKDAY(MAX(G40),1,$H$3:$I$3)</f>
        <v>46560</v>
      </c>
      <c r="G41" s="22" t="n">
        <f aca="false">IF(D41=0,F41,WORKDAY(F41,D41-1,$H$3:$I$3))</f>
        <v>46566</v>
      </c>
      <c r="H41" s="23" t="n">
        <v>0</v>
      </c>
      <c r="I41" s="20" t="str">
        <f aca="false">IF(H41&gt;=1,"Done",IF(G41&lt;$E$3,"LATE",IF(F41&lt;=$E$3,"In progress","Not started")))</f>
        <v>Not started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customFormat="false" ht="15" hidden="false" customHeight="false" outlineLevel="0" collapsed="false">
      <c r="A42" s="20" t="s">
        <v>147</v>
      </c>
      <c r="B42" s="20" t="s">
        <v>148</v>
      </c>
      <c r="C42" s="20" t="s">
        <v>144</v>
      </c>
      <c r="D42" s="21" t="n">
        <v>3</v>
      </c>
      <c r="E42" s="21" t="s">
        <v>145</v>
      </c>
      <c r="F42" s="22" t="n">
        <f aca="false">WORKDAY(MAX(G41),1,$H$3:$I$3)</f>
        <v>46567</v>
      </c>
      <c r="G42" s="22" t="n">
        <f aca="false">IF(D42=0,F42,WORKDAY(F42,D42-1,$H$3:$I$3))</f>
        <v>46569</v>
      </c>
      <c r="H42" s="23" t="n">
        <v>0</v>
      </c>
      <c r="I42" s="20" t="str">
        <f aca="false">IF(H42&gt;=1,"Done",IF(G42&lt;$E$3,"LATE",IF(F42&lt;=$E$3,"In progress","Not started")))</f>
        <v>Not started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customFormat="false" ht="15" hidden="false" customHeight="false" outlineLevel="0" collapsed="false">
      <c r="A43" s="20" t="s">
        <v>149</v>
      </c>
      <c r="B43" s="20" t="s">
        <v>150</v>
      </c>
      <c r="C43" s="20" t="s">
        <v>65</v>
      </c>
      <c r="D43" s="21" t="n">
        <v>0</v>
      </c>
      <c r="E43" s="21" t="s">
        <v>147</v>
      </c>
      <c r="F43" s="22" t="n">
        <f aca="false">MAX(G42)</f>
        <v>46569</v>
      </c>
      <c r="G43" s="22" t="n">
        <f aca="false">IF(D43=0,F43,WORKDAY(F43,D43-1,$H$3:$I$3))</f>
        <v>46569</v>
      </c>
      <c r="H43" s="23" t="n">
        <v>0</v>
      </c>
      <c r="I43" s="20" t="str">
        <f aca="false">IF(H43&gt;=1,"Done",IF(G43&lt;$E$3,"LATE",IF(F43&lt;=$E$3,"In progress","Not started")))</f>
        <v>Not started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customFormat="false" ht="15" hidden="false" customHeight="false" outlineLevel="0" collapsed="false">
      <c r="A44" s="17" t="s">
        <v>151</v>
      </c>
      <c r="B44" s="17" t="s">
        <v>152</v>
      </c>
      <c r="C44" s="17"/>
      <c r="D44" s="17" t="n">
        <f aca="false">NETWORKDAYS(F44,G44,$H$3:$I$3)</f>
        <v>5</v>
      </c>
      <c r="E44" s="17"/>
      <c r="F44" s="18" t="n">
        <f aca="false">MIN(F45:F47)</f>
        <v>46570</v>
      </c>
      <c r="G44" s="18" t="n">
        <f aca="false">MAX(G45:G47)</f>
        <v>46577</v>
      </c>
      <c r="H44" s="19" t="n">
        <f aca="false">IFERROR(SUMPRODUCT(D45:D47,H45:H47)/SUM(D45:D47),0)</f>
        <v>0</v>
      </c>
      <c r="I44" s="17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customFormat="false" ht="15" hidden="false" customHeight="false" outlineLevel="0" collapsed="false">
      <c r="A45" s="20" t="s">
        <v>153</v>
      </c>
      <c r="B45" s="20" t="s">
        <v>154</v>
      </c>
      <c r="C45" s="20" t="s">
        <v>65</v>
      </c>
      <c r="D45" s="21" t="n">
        <v>3</v>
      </c>
      <c r="E45" s="21" t="s">
        <v>149</v>
      </c>
      <c r="F45" s="22" t="n">
        <f aca="false">WORKDAY(MAX(G43),1,$H$3:$I$3)</f>
        <v>46570</v>
      </c>
      <c r="G45" s="22" t="n">
        <f aca="false">IF(D45=0,F45,WORKDAY(F45,D45-1,$H$3:$I$3))</f>
        <v>46575</v>
      </c>
      <c r="H45" s="23" t="n">
        <v>0</v>
      </c>
      <c r="I45" s="20" t="str">
        <f aca="false">IF(H45&gt;=1,"Done",IF(G45&lt;$E$3,"LATE",IF(F45&lt;=$E$3,"In progress","Not started")))</f>
        <v>Not started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customFormat="false" ht="15" hidden="false" customHeight="false" outlineLevel="0" collapsed="false">
      <c r="A46" s="20" t="s">
        <v>155</v>
      </c>
      <c r="B46" s="20" t="s">
        <v>156</v>
      </c>
      <c r="C46" s="20" t="s">
        <v>65</v>
      </c>
      <c r="D46" s="21" t="n">
        <v>2</v>
      </c>
      <c r="E46" s="21" t="s">
        <v>153</v>
      </c>
      <c r="F46" s="22" t="n">
        <f aca="false">WORKDAY(MAX(G45),1,$H$3:$I$3)</f>
        <v>46576</v>
      </c>
      <c r="G46" s="22" t="n">
        <f aca="false">IF(D46=0,F46,WORKDAY(F46,D46-1,$H$3:$I$3))</f>
        <v>46577</v>
      </c>
      <c r="H46" s="23" t="n">
        <v>0</v>
      </c>
      <c r="I46" s="20" t="str">
        <f aca="false">IF(H46&gt;=1,"Done",IF(G46&lt;$E$3,"LATE",IF(F46&lt;=$E$3,"In progress","Not started")))</f>
        <v>Not started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customFormat="false" ht="15" hidden="false" customHeight="false" outlineLevel="0" collapsed="false">
      <c r="A47" s="20" t="s">
        <v>157</v>
      </c>
      <c r="B47" s="20" t="s">
        <v>158</v>
      </c>
      <c r="C47" s="20" t="s">
        <v>65</v>
      </c>
      <c r="D47" s="21" t="n">
        <v>0</v>
      </c>
      <c r="E47" s="21" t="s">
        <v>155</v>
      </c>
      <c r="F47" s="22" t="n">
        <f aca="false">MAX(G46)</f>
        <v>46577</v>
      </c>
      <c r="G47" s="22" t="n">
        <f aca="false">IF(D47=0,F47,WORKDAY(F47,D47-1,$H$3:$I$3))</f>
        <v>46577</v>
      </c>
      <c r="H47" s="23" t="n">
        <v>0</v>
      </c>
      <c r="I47" s="20" t="str">
        <f aca="false">IF(H47&gt;=1,"Done",IF(G47&lt;$E$3,"LATE",IF(F47&lt;=$E$3,"In progress","Not started")))</f>
        <v>Not started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</sheetData>
  <conditionalFormatting sqref="K6:AL47">
    <cfRule type="expression" priority="2" aboveAverage="0" equalAverage="0" bottom="0" percent="0" rank="0" text="" dxfId="1">
      <formula>AND($D6=0,K$5&lt;=$F6,K$5+6&gt;=$F6)</formula>
    </cfRule>
    <cfRule type="expression" priority="3" aboveAverage="0" equalAverage="0" bottom="0" percent="0" rank="0" text="" dxfId="2">
      <formula>AND($I6="",K$5&lt;=$G6,K$5+6&gt;=$F6)</formula>
    </cfRule>
    <cfRule type="expression" priority="4" aboveAverage="0" equalAverage="0" bottom="0" percent="0" rank="0" text="" dxfId="3">
      <formula>AND($I6="LATE",K$5&lt;=$G6,K$5+6&gt;=$F6)</formula>
    </cfRule>
    <cfRule type="expression" priority="5" aboveAverage="0" equalAverage="0" bottom="0" percent="0" rank="0" text="" dxfId="4">
      <formula>AND(K$5&lt;=$G6,K$5+6&gt;=$F6)</formula>
    </cfRule>
  </conditionalFormatting>
  <conditionalFormatting sqref="I6:I47">
    <cfRule type="expression" priority="6" aboveAverage="0" equalAverage="0" bottom="0" percent="0" rank="0" text="" dxfId="5">
      <formula>I6="LATE"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AN80" numberStoredAsText="1" formula="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5"/>
    <col collapsed="false" customWidth="true" hidden="false" outlineLevel="0" max="7" min="7" style="0" width="10"/>
    <col collapsed="false" customWidth="true" hidden="false" outlineLevel="0" max="8" min="8" style="0" width="15"/>
  </cols>
  <sheetData>
    <row r="1" customFormat="false" ht="17.35" hidden="false" customHeight="false" outlineLevel="0" collapsed="false">
      <c r="A1" s="1" t="s">
        <v>159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160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4" t="s">
        <v>161</v>
      </c>
      <c r="B3" s="2"/>
      <c r="C3" s="24" t="n">
        <v>0.22</v>
      </c>
      <c r="D3" s="3" t="s">
        <v>162</v>
      </c>
      <c r="E3" s="2"/>
      <c r="F3" s="2"/>
      <c r="G3" s="2"/>
      <c r="H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15" t="s">
        <v>163</v>
      </c>
      <c r="B5" s="15" t="s">
        <v>164</v>
      </c>
      <c r="C5" s="15" t="s">
        <v>165</v>
      </c>
      <c r="D5" s="15" t="s">
        <v>166</v>
      </c>
      <c r="E5" s="15" t="s">
        <v>167</v>
      </c>
      <c r="F5" s="15" t="s">
        <v>168</v>
      </c>
      <c r="G5" s="15" t="s">
        <v>169</v>
      </c>
      <c r="H5" s="15" t="s">
        <v>170</v>
      </c>
    </row>
    <row r="6" customFormat="false" ht="15" hidden="false" customHeight="false" outlineLevel="0" collapsed="false">
      <c r="A6" s="20" t="s">
        <v>171</v>
      </c>
      <c r="B6" s="20" t="s">
        <v>172</v>
      </c>
      <c r="C6" s="20" t="s">
        <v>173</v>
      </c>
      <c r="D6" s="21" t="n">
        <v>2</v>
      </c>
      <c r="E6" s="25" t="n">
        <v>620000</v>
      </c>
      <c r="F6" s="26" t="n">
        <f aca="false">D6*E6</f>
        <v>1240000</v>
      </c>
      <c r="G6" s="27" t="n">
        <f aca="false">$C$3</f>
        <v>0.22</v>
      </c>
      <c r="H6" s="26" t="n">
        <f aca="false">F6*(1+G6)</f>
        <v>1512800</v>
      </c>
    </row>
    <row r="7" customFormat="false" ht="15" hidden="false" customHeight="false" outlineLevel="0" collapsed="false">
      <c r="A7" s="20" t="s">
        <v>174</v>
      </c>
      <c r="B7" s="20" t="s">
        <v>175</v>
      </c>
      <c r="C7" s="20" t="s">
        <v>176</v>
      </c>
      <c r="D7" s="21" t="n">
        <v>2</v>
      </c>
      <c r="E7" s="25" t="n">
        <v>47500</v>
      </c>
      <c r="F7" s="26" t="n">
        <f aca="false">D7*E7</f>
        <v>95000</v>
      </c>
      <c r="G7" s="27" t="n">
        <f aca="false">$C$3</f>
        <v>0.22</v>
      </c>
      <c r="H7" s="26" t="n">
        <f aca="false">F7*(1+G7)</f>
        <v>115900</v>
      </c>
    </row>
    <row r="8" customFormat="false" ht="15" hidden="false" customHeight="false" outlineLevel="0" collapsed="false">
      <c r="A8" s="20" t="s">
        <v>177</v>
      </c>
      <c r="B8" s="20" t="s">
        <v>178</v>
      </c>
      <c r="C8" s="20" t="s">
        <v>179</v>
      </c>
      <c r="D8" s="21" t="n">
        <v>1</v>
      </c>
      <c r="E8" s="25" t="n">
        <v>180000</v>
      </c>
      <c r="F8" s="26" t="n">
        <f aca="false">D8*E8</f>
        <v>180000</v>
      </c>
      <c r="G8" s="27" t="n">
        <f aca="false">$C$3</f>
        <v>0.22</v>
      </c>
      <c r="H8" s="26" t="n">
        <f aca="false">F8*(1+G8)</f>
        <v>219600</v>
      </c>
    </row>
    <row r="9" customFormat="false" ht="15" hidden="false" customHeight="false" outlineLevel="0" collapsed="false">
      <c r="A9" s="20" t="s">
        <v>180</v>
      </c>
      <c r="B9" s="20" t="s">
        <v>181</v>
      </c>
      <c r="C9" s="20" t="s">
        <v>179</v>
      </c>
      <c r="D9" s="21" t="n">
        <v>1</v>
      </c>
      <c r="E9" s="25" t="n">
        <v>45000</v>
      </c>
      <c r="F9" s="26" t="n">
        <f aca="false">D9*E9</f>
        <v>45000</v>
      </c>
      <c r="G9" s="27" t="n">
        <f aca="false">$C$3</f>
        <v>0.22</v>
      </c>
      <c r="H9" s="26" t="n">
        <f aca="false">F9*(1+G9)</f>
        <v>54900</v>
      </c>
    </row>
    <row r="10" customFormat="false" ht="15" hidden="false" customHeight="false" outlineLevel="0" collapsed="false">
      <c r="A10" s="20" t="s">
        <v>182</v>
      </c>
      <c r="B10" s="20" t="s">
        <v>183</v>
      </c>
      <c r="C10" s="20" t="s">
        <v>184</v>
      </c>
      <c r="D10" s="21" t="n">
        <v>900</v>
      </c>
      <c r="E10" s="25" t="n">
        <v>95</v>
      </c>
      <c r="F10" s="26" t="n">
        <f aca="false">D10*E10</f>
        <v>85500</v>
      </c>
      <c r="G10" s="27" t="n">
        <f aca="false">$C$3</f>
        <v>0.22</v>
      </c>
      <c r="H10" s="26" t="n">
        <f aca="false">F10*(1+G10)</f>
        <v>104310</v>
      </c>
    </row>
    <row r="11" customFormat="false" ht="15" hidden="false" customHeight="false" outlineLevel="0" collapsed="false">
      <c r="A11" s="20" t="s">
        <v>185</v>
      </c>
      <c r="B11" s="20" t="s">
        <v>186</v>
      </c>
      <c r="C11" s="20" t="s">
        <v>184</v>
      </c>
      <c r="D11" s="21" t="n">
        <v>1400</v>
      </c>
      <c r="E11" s="25" t="n">
        <v>70</v>
      </c>
      <c r="F11" s="26" t="n">
        <f aca="false">D11*E11</f>
        <v>98000</v>
      </c>
      <c r="G11" s="27" t="n">
        <f aca="false">$C$3</f>
        <v>0.22</v>
      </c>
      <c r="H11" s="26" t="n">
        <f aca="false">F11*(1+G11)</f>
        <v>119560</v>
      </c>
    </row>
    <row r="12" customFormat="false" ht="15" hidden="false" customHeight="false" outlineLevel="0" collapsed="false">
      <c r="A12" s="20" t="s">
        <v>187</v>
      </c>
      <c r="B12" s="20" t="s">
        <v>188</v>
      </c>
      <c r="C12" s="20" t="s">
        <v>184</v>
      </c>
      <c r="D12" s="21" t="n">
        <v>240</v>
      </c>
      <c r="E12" s="25" t="n">
        <v>95</v>
      </c>
      <c r="F12" s="26" t="n">
        <f aca="false">D12*E12</f>
        <v>22800</v>
      </c>
      <c r="G12" s="27" t="n">
        <f aca="false">$C$3</f>
        <v>0.22</v>
      </c>
      <c r="H12" s="26" t="n">
        <f aca="false">F12*(1+G12)</f>
        <v>27816</v>
      </c>
    </row>
    <row r="13" customFormat="false" ht="15" hidden="false" customHeight="false" outlineLevel="0" collapsed="false">
      <c r="A13" s="20" t="s">
        <v>189</v>
      </c>
      <c r="B13" s="20" t="s">
        <v>190</v>
      </c>
      <c r="C13" s="20" t="s">
        <v>179</v>
      </c>
      <c r="D13" s="21" t="n">
        <v>1</v>
      </c>
      <c r="E13" s="25" t="n">
        <v>38000</v>
      </c>
      <c r="F13" s="26" t="n">
        <f aca="false">D13*E13</f>
        <v>38000</v>
      </c>
      <c r="G13" s="28" t="n">
        <v>0.1</v>
      </c>
      <c r="H13" s="26" t="n">
        <f aca="false">F13*(1+G13)</f>
        <v>41800</v>
      </c>
    </row>
    <row r="14" customFormat="false" ht="15" hidden="false" customHeight="false" outlineLevel="0" collapsed="false">
      <c r="A14" s="20" t="s">
        <v>191</v>
      </c>
      <c r="B14" s="20" t="s">
        <v>192</v>
      </c>
      <c r="C14" s="20" t="s">
        <v>179</v>
      </c>
      <c r="D14" s="21" t="n">
        <v>1</v>
      </c>
      <c r="E14" s="25" t="n">
        <v>42000</v>
      </c>
      <c r="F14" s="26" t="n">
        <f aca="false">D14*E14</f>
        <v>42000</v>
      </c>
      <c r="G14" s="27" t="n">
        <f aca="false">$C$3</f>
        <v>0.22</v>
      </c>
      <c r="H14" s="26" t="n">
        <f aca="false">F14*(1+G14)</f>
        <v>51240</v>
      </c>
    </row>
    <row r="15" customFormat="false" ht="15" hidden="false" customHeight="false" outlineLevel="0" collapsed="false">
      <c r="A15" s="20" t="s">
        <v>193</v>
      </c>
      <c r="B15" s="20" t="s">
        <v>148</v>
      </c>
      <c r="C15" s="20" t="s">
        <v>179</v>
      </c>
      <c r="D15" s="21" t="n">
        <v>1</v>
      </c>
      <c r="E15" s="25" t="n">
        <v>12000</v>
      </c>
      <c r="F15" s="26" t="n">
        <f aca="false">D15*E15</f>
        <v>12000</v>
      </c>
      <c r="G15" s="27" t="n">
        <f aca="false">$C$3</f>
        <v>0.22</v>
      </c>
      <c r="H15" s="26" t="n">
        <f aca="false">F15*(1+G15)</f>
        <v>14640</v>
      </c>
    </row>
    <row r="16" customFormat="false" ht="15" hidden="false" customHeight="false" outlineLevel="0" collapsed="false">
      <c r="A16" s="20"/>
      <c r="B16" s="20" t="s">
        <v>194</v>
      </c>
      <c r="C16" s="20"/>
      <c r="D16" s="29" t="n">
        <v>0.02</v>
      </c>
      <c r="E16" s="20"/>
      <c r="F16" s="26" t="n">
        <f aca="false">SUM(F6:F15)*D16</f>
        <v>37166</v>
      </c>
      <c r="G16" s="27" t="n">
        <f aca="false">$C$3</f>
        <v>0.22</v>
      </c>
      <c r="H16" s="26" t="n">
        <f aca="false">F16*(1+G16)</f>
        <v>45342.52</v>
      </c>
    </row>
    <row r="17" customFormat="false" ht="15" hidden="false" customHeight="false" outlineLevel="0" collapsed="false">
      <c r="A17" s="20"/>
      <c r="B17" s="20" t="s">
        <v>195</v>
      </c>
      <c r="C17" s="20"/>
      <c r="D17" s="29" t="n">
        <v>0.03</v>
      </c>
      <c r="E17" s="20"/>
      <c r="F17" s="26" t="n">
        <f aca="false">SUM(F6:F15)*D17</f>
        <v>55749</v>
      </c>
      <c r="G17" s="27" t="n">
        <f aca="false">$C$3</f>
        <v>0.22</v>
      </c>
      <c r="H17" s="26" t="n">
        <f aca="false">F17*(1+G17)</f>
        <v>68013.78</v>
      </c>
    </row>
    <row r="18" customFormat="false" ht="15" hidden="false" customHeight="false" outlineLevel="0" collapsed="false">
      <c r="A18" s="20"/>
      <c r="B18" s="30" t="s">
        <v>196</v>
      </c>
      <c r="C18" s="20"/>
      <c r="D18" s="20"/>
      <c r="E18" s="20"/>
      <c r="F18" s="31" t="n">
        <f aca="false">SUM(F6:F17)</f>
        <v>1951215</v>
      </c>
      <c r="G18" s="20"/>
      <c r="H18" s="31" t="n">
        <f aca="false">SUM(H6:H17)</f>
        <v>2375922.3</v>
      </c>
    </row>
    <row r="19" customFormat="false" ht="15" hidden="false" customHeight="false" outlineLevel="0" collapsed="false">
      <c r="A19" s="20"/>
      <c r="B19" s="20" t="s">
        <v>197</v>
      </c>
      <c r="C19" s="20"/>
      <c r="D19" s="20"/>
      <c r="E19" s="20"/>
      <c r="F19" s="20"/>
      <c r="G19" s="20"/>
      <c r="H19" s="27" t="n">
        <f aca="false">IFERROR((H18-F18)/H18,0)</f>
        <v>0.178754709276478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AN80" numberStoredAsText="1" formula="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4" min="3" style="0" width="14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9" min="9" style="0" width="11"/>
    <col collapsed="false" customWidth="true" hidden="false" outlineLevel="0" max="10" min="10" style="0" width="70"/>
  </cols>
  <sheetData>
    <row r="1" customFormat="false" ht="17.35" hidden="false" customHeight="false" outlineLevel="0" collapsed="false">
      <c r="A1" s="1" t="s">
        <v>198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199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26.85" hidden="false" customHeight="false" outlineLevel="0" collapsed="false">
      <c r="A4" s="15" t="s">
        <v>163</v>
      </c>
      <c r="B4" s="15" t="s">
        <v>200</v>
      </c>
      <c r="C4" s="15" t="s">
        <v>201</v>
      </c>
      <c r="D4" s="15" t="s">
        <v>202</v>
      </c>
      <c r="E4" s="15" t="s">
        <v>203</v>
      </c>
      <c r="F4" s="15" t="s">
        <v>204</v>
      </c>
      <c r="G4" s="15" t="s">
        <v>205</v>
      </c>
      <c r="H4" s="15" t="s">
        <v>206</v>
      </c>
      <c r="I4" s="15" t="s">
        <v>207</v>
      </c>
      <c r="J4" s="15" t="s">
        <v>208</v>
      </c>
    </row>
    <row r="5" customFormat="false" ht="15" hidden="false" customHeight="false" outlineLevel="0" collapsed="false">
      <c r="A5" s="20" t="s">
        <v>171</v>
      </c>
      <c r="B5" s="11" t="str">
        <f aca="false">'Quote Build-up'!B6</f>
        <v>5-axis horizontal machining center (base machine)</v>
      </c>
      <c r="C5" s="7" t="n">
        <f aca="false">'Quote Build-up'!F6</f>
        <v>1240000</v>
      </c>
      <c r="D5" s="25" t="n">
        <v>1250000</v>
      </c>
      <c r="E5" s="25" t="n">
        <v>610000</v>
      </c>
      <c r="F5" s="25" t="n">
        <v>640000</v>
      </c>
      <c r="G5" s="26" t="n">
        <f aca="false">E5+F5</f>
        <v>1250000</v>
      </c>
      <c r="H5" s="26" t="n">
        <f aca="false">C5-G5</f>
        <v>-10000</v>
      </c>
      <c r="I5" s="27" t="n">
        <f aca="false">IFERROR(H5/C5,0)</f>
        <v>-0.00806451612903226</v>
      </c>
      <c r="J5" s="20" t="s">
        <v>209</v>
      </c>
    </row>
    <row r="6" customFormat="false" ht="15" hidden="false" customHeight="false" outlineLevel="0" collapsed="false">
      <c r="A6" s="20" t="s">
        <v>174</v>
      </c>
      <c r="B6" s="11" t="str">
        <f aca="false">'Quote Build-up'!B7</f>
        <v>Hydraulic fixture set, single nest</v>
      </c>
      <c r="C6" s="7" t="n">
        <f aca="false">'Quote Build-up'!F7</f>
        <v>95000</v>
      </c>
      <c r="D6" s="25" t="n">
        <v>95000</v>
      </c>
      <c r="E6" s="25" t="n">
        <v>88000</v>
      </c>
      <c r="F6" s="25" t="n">
        <v>7000</v>
      </c>
      <c r="G6" s="26" t="n">
        <f aca="false">E6+F6</f>
        <v>95000</v>
      </c>
      <c r="H6" s="26" t="n">
        <f aca="false">C6-G6</f>
        <v>0</v>
      </c>
      <c r="I6" s="27" t="n">
        <f aca="false">IFERROR(H6/C6,0)</f>
        <v>0</v>
      </c>
      <c r="J6" s="20"/>
    </row>
    <row r="7" customFormat="false" ht="15" hidden="false" customHeight="false" outlineLevel="0" collapsed="false">
      <c r="A7" s="20" t="s">
        <v>177</v>
      </c>
      <c r="B7" s="11" t="str">
        <f aca="false">'Quote Build-up'!B8</f>
        <v>Robotic loading cell incl. safety guarding</v>
      </c>
      <c r="C7" s="7" t="n">
        <f aca="false">'Quote Build-up'!F8</f>
        <v>180000</v>
      </c>
      <c r="D7" s="25" t="n">
        <v>186500</v>
      </c>
      <c r="E7" s="25" t="n">
        <v>140000</v>
      </c>
      <c r="F7" s="25" t="n">
        <v>46500</v>
      </c>
      <c r="G7" s="26" t="n">
        <f aca="false">E7+F7</f>
        <v>186500</v>
      </c>
      <c r="H7" s="26" t="n">
        <f aca="false">C7-G7</f>
        <v>-6500</v>
      </c>
      <c r="I7" s="27" t="n">
        <f aca="false">IFERROR(H7/C7,0)</f>
        <v>-0.0361111111111111</v>
      </c>
      <c r="J7" s="20" t="s">
        <v>210</v>
      </c>
    </row>
    <row r="8" customFormat="false" ht="15" hidden="false" customHeight="false" outlineLevel="0" collapsed="false">
      <c r="A8" s="20" t="s">
        <v>180</v>
      </c>
      <c r="B8" s="11" t="str">
        <f aca="false">'Quote Build-up'!B9</f>
        <v>Controls and software integration</v>
      </c>
      <c r="C8" s="7" t="n">
        <f aca="false">'Quote Build-up'!F9</f>
        <v>45000</v>
      </c>
      <c r="D8" s="25" t="n">
        <v>30000</v>
      </c>
      <c r="E8" s="25" t="n">
        <v>12000</v>
      </c>
      <c r="F8" s="25" t="n">
        <v>33000</v>
      </c>
      <c r="G8" s="26" t="n">
        <f aca="false">E8+F8</f>
        <v>45000</v>
      </c>
      <c r="H8" s="26" t="n">
        <f aca="false">C8-G8</f>
        <v>0</v>
      </c>
      <c r="I8" s="27" t="n">
        <f aca="false">IFERROR(H8/C8,0)</f>
        <v>0</v>
      </c>
      <c r="J8" s="20"/>
    </row>
    <row r="9" customFormat="false" ht="15" hidden="false" customHeight="false" outlineLevel="0" collapsed="false">
      <c r="A9" s="20" t="s">
        <v>182</v>
      </c>
      <c r="B9" s="11" t="str">
        <f aca="false">'Quote Build-up'!B10</f>
        <v>Engineering hours (mech, controls, apps)</v>
      </c>
      <c r="C9" s="7" t="n">
        <f aca="false">'Quote Build-up'!F10</f>
        <v>85500</v>
      </c>
      <c r="D9" s="25" t="n">
        <v>0</v>
      </c>
      <c r="E9" s="25" t="n">
        <v>71000</v>
      </c>
      <c r="F9" s="25" t="n">
        <v>16000</v>
      </c>
      <c r="G9" s="26" t="n">
        <f aca="false">E9+F9</f>
        <v>87000</v>
      </c>
      <c r="H9" s="26" t="n">
        <f aca="false">C9-G9</f>
        <v>-1500</v>
      </c>
      <c r="I9" s="27" t="n">
        <f aca="false">IFERROR(H9/C9,0)</f>
        <v>-0.0175438596491228</v>
      </c>
      <c r="J9" s="20" t="s">
        <v>211</v>
      </c>
    </row>
    <row r="10" customFormat="false" ht="15" hidden="false" customHeight="false" outlineLevel="0" collapsed="false">
      <c r="A10" s="20" t="s">
        <v>185</v>
      </c>
      <c r="B10" s="11" t="str">
        <f aca="false">'Quote Build-up'!B11</f>
        <v>Assembly hours</v>
      </c>
      <c r="C10" s="7" t="n">
        <f aca="false">'Quote Build-up'!F11</f>
        <v>98000</v>
      </c>
      <c r="D10" s="25" t="n">
        <v>0</v>
      </c>
      <c r="E10" s="25" t="n">
        <v>52000</v>
      </c>
      <c r="F10" s="25" t="n">
        <v>48000</v>
      </c>
      <c r="G10" s="26" t="n">
        <f aca="false">E10+F10</f>
        <v>100000</v>
      </c>
      <c r="H10" s="26" t="n">
        <f aca="false">C10-G10</f>
        <v>-2000</v>
      </c>
      <c r="I10" s="27" t="n">
        <f aca="false">IFERROR(H10/C10,0)</f>
        <v>-0.0204081632653061</v>
      </c>
      <c r="J10" s="20"/>
    </row>
    <row r="11" customFormat="false" ht="15" hidden="false" customHeight="false" outlineLevel="0" collapsed="false">
      <c r="A11" s="20" t="s">
        <v>187</v>
      </c>
      <c r="B11" s="11" t="str">
        <f aca="false">'Quote Build-up'!B12</f>
        <v>Runoff and applications support</v>
      </c>
      <c r="C11" s="7" t="n">
        <f aca="false">'Quote Build-up'!F12</f>
        <v>22800</v>
      </c>
      <c r="D11" s="25" t="n">
        <v>0</v>
      </c>
      <c r="E11" s="25" t="n">
        <v>0</v>
      </c>
      <c r="F11" s="25" t="n">
        <v>22800</v>
      </c>
      <c r="G11" s="26" t="n">
        <f aca="false">E11+F11</f>
        <v>22800</v>
      </c>
      <c r="H11" s="26" t="n">
        <f aca="false">C11-G11</f>
        <v>0</v>
      </c>
      <c r="I11" s="27" t="n">
        <f aca="false">IFERROR(H11/C11,0)</f>
        <v>0</v>
      </c>
      <c r="J11" s="20"/>
    </row>
    <row r="12" customFormat="false" ht="15" hidden="false" customHeight="false" outlineLevel="0" collapsed="false">
      <c r="A12" s="20" t="s">
        <v>189</v>
      </c>
      <c r="B12" s="11" t="str">
        <f aca="false">'Quote Build-up'!B13</f>
        <v>Freight, crating and rigging</v>
      </c>
      <c r="C12" s="7" t="n">
        <f aca="false">'Quote Build-up'!F13</f>
        <v>38000</v>
      </c>
      <c r="D12" s="25" t="n">
        <v>0</v>
      </c>
      <c r="E12" s="25" t="n">
        <v>0</v>
      </c>
      <c r="F12" s="25" t="n">
        <v>38000</v>
      </c>
      <c r="G12" s="26" t="n">
        <f aca="false">E12+F12</f>
        <v>38000</v>
      </c>
      <c r="H12" s="26" t="n">
        <f aca="false">C12-G12</f>
        <v>0</v>
      </c>
      <c r="I12" s="27" t="n">
        <f aca="false">IFERROR(H12/C12,0)</f>
        <v>0</v>
      </c>
      <c r="J12" s="20"/>
    </row>
    <row r="13" customFormat="false" ht="15" hidden="false" customHeight="false" outlineLevel="0" collapsed="false">
      <c r="A13" s="20" t="s">
        <v>191</v>
      </c>
      <c r="B13" s="11" t="str">
        <f aca="false">'Quote Build-up'!B14</f>
        <v>Installation and travel</v>
      </c>
      <c r="C13" s="7" t="n">
        <f aca="false">'Quote Build-up'!F14</f>
        <v>42000</v>
      </c>
      <c r="D13" s="25" t="n">
        <v>0</v>
      </c>
      <c r="E13" s="25" t="n">
        <v>0</v>
      </c>
      <c r="F13" s="25" t="n">
        <v>42000</v>
      </c>
      <c r="G13" s="26" t="n">
        <f aca="false">E13+F13</f>
        <v>42000</v>
      </c>
      <c r="H13" s="26" t="n">
        <f aca="false">C13-G13</f>
        <v>0</v>
      </c>
      <c r="I13" s="27" t="n">
        <f aca="false">IFERROR(H13/C13,0)</f>
        <v>0</v>
      </c>
      <c r="J13" s="20"/>
    </row>
    <row r="14" customFormat="false" ht="15" hidden="false" customHeight="false" outlineLevel="0" collapsed="false">
      <c r="A14" s="20" t="s">
        <v>193</v>
      </c>
      <c r="B14" s="11" t="str">
        <f aca="false">'Quote Build-up'!B15</f>
        <v>Operator and maintenance training</v>
      </c>
      <c r="C14" s="7" t="n">
        <f aca="false">'Quote Build-up'!F15</f>
        <v>12000</v>
      </c>
      <c r="D14" s="25" t="n">
        <v>0</v>
      </c>
      <c r="E14" s="25" t="n">
        <v>0</v>
      </c>
      <c r="F14" s="25" t="n">
        <v>12000</v>
      </c>
      <c r="G14" s="26" t="n">
        <f aca="false">E14+F14</f>
        <v>12000</v>
      </c>
      <c r="H14" s="26" t="n">
        <f aca="false">C14-G14</f>
        <v>0</v>
      </c>
      <c r="I14" s="27" t="n">
        <f aca="false">IFERROR(H14/C14,0)</f>
        <v>0</v>
      </c>
      <c r="J14" s="20"/>
    </row>
    <row r="15" customFormat="false" ht="15" hidden="false" customHeight="false" outlineLevel="0" collapsed="false">
      <c r="A15" s="20" t="s">
        <v>212</v>
      </c>
      <c r="B15" s="11" t="str">
        <f aca="false">'Quote Build-up'!B16</f>
        <v>Warranty reserve (% of cost)</v>
      </c>
      <c r="C15" s="7" t="n">
        <f aca="false">'Quote Build-up'!F16</f>
        <v>37166</v>
      </c>
      <c r="D15" s="25" t="n">
        <v>0</v>
      </c>
      <c r="E15" s="25" t="n">
        <v>0</v>
      </c>
      <c r="F15" s="9" t="n">
        <f aca="false">C15</f>
        <v>37166</v>
      </c>
      <c r="G15" s="26" t="n">
        <f aca="false">E15+F15</f>
        <v>37166</v>
      </c>
      <c r="H15" s="26" t="n">
        <f aca="false">C15-G15</f>
        <v>0</v>
      </c>
      <c r="I15" s="27" t="n">
        <f aca="false">IFERROR(H15/C15,0)</f>
        <v>0</v>
      </c>
      <c r="J15" s="20" t="s">
        <v>213</v>
      </c>
    </row>
    <row r="16" customFormat="false" ht="15" hidden="false" customHeight="false" outlineLevel="0" collapsed="false">
      <c r="A16" s="20" t="s">
        <v>214</v>
      </c>
      <c r="B16" s="11" t="str">
        <f aca="false">'Quote Build-up'!B17</f>
        <v>Contingency (% of cost)</v>
      </c>
      <c r="C16" s="7" t="n">
        <f aca="false">'Quote Build-up'!F17</f>
        <v>55749</v>
      </c>
      <c r="D16" s="25" t="n">
        <v>0</v>
      </c>
      <c r="E16" s="25" t="n">
        <v>0</v>
      </c>
      <c r="F16" s="25" t="n">
        <v>25000</v>
      </c>
      <c r="G16" s="26" t="n">
        <f aca="false">E16+F16</f>
        <v>25000</v>
      </c>
      <c r="H16" s="26" t="n">
        <f aca="false">C16-G16</f>
        <v>30749</v>
      </c>
      <c r="I16" s="27" t="n">
        <f aca="false">IFERROR(H16/C16,0)</f>
        <v>0.551561462985883</v>
      </c>
      <c r="J16" s="20" t="s">
        <v>215</v>
      </c>
    </row>
    <row r="17" customFormat="false" ht="15" hidden="false" customHeight="false" outlineLevel="0" collapsed="false">
      <c r="A17" s="2"/>
      <c r="B17" s="4" t="s">
        <v>196</v>
      </c>
      <c r="C17" s="32" t="n">
        <f aca="false">SUM(C5:C16)</f>
        <v>1951215</v>
      </c>
      <c r="D17" s="32" t="n">
        <f aca="false">SUM(D5:D16)</f>
        <v>1561500</v>
      </c>
      <c r="E17" s="32" t="n">
        <f aca="false">SUM(E5:E16)</f>
        <v>973000</v>
      </c>
      <c r="F17" s="32" t="n">
        <f aca="false">SUM(F5:F16)</f>
        <v>967466</v>
      </c>
      <c r="G17" s="32" t="n">
        <f aca="false">SUM(G5:G16)</f>
        <v>1940466</v>
      </c>
      <c r="H17" s="32" t="n">
        <f aca="false">SUM(H5:H16)</f>
        <v>10749</v>
      </c>
      <c r="I17" s="33" t="n">
        <f aca="false">IFERROR(H17/C17,0)</f>
        <v>0.00550887523927399</v>
      </c>
      <c r="J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2"/>
      <c r="B19" s="3" t="s">
        <v>216</v>
      </c>
      <c r="C19" s="2"/>
      <c r="D19" s="2"/>
      <c r="E19" s="2"/>
      <c r="F19" s="2"/>
      <c r="G19" s="2"/>
      <c r="H19" s="2"/>
      <c r="I19" s="2"/>
      <c r="J19" s="2"/>
    </row>
  </sheetData>
  <conditionalFormatting sqref="H5:H17">
    <cfRule type="expression" priority="2" aboveAverage="0" equalAverage="0" bottom="0" percent="0" rank="0" text="" dxfId="5">
      <formula>H5&lt;0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AN80" numberStoredAsText="1" formula="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9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217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218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6.85" hidden="false" customHeight="false" outlineLevel="0" collapsed="false">
      <c r="A4" s="15" t="s">
        <v>219</v>
      </c>
      <c r="B4" s="15" t="s">
        <v>220</v>
      </c>
      <c r="C4" s="15" t="s">
        <v>221</v>
      </c>
      <c r="D4" s="15" t="s">
        <v>222</v>
      </c>
      <c r="E4" s="15" t="s">
        <v>223</v>
      </c>
      <c r="F4" s="15" t="s">
        <v>224</v>
      </c>
      <c r="G4" s="15" t="s">
        <v>225</v>
      </c>
      <c r="H4" s="15" t="s">
        <v>60</v>
      </c>
    </row>
    <row r="5" customFormat="false" ht="15" hidden="false" customHeight="false" outlineLevel="0" collapsed="false">
      <c r="A5" s="6" t="s">
        <v>226</v>
      </c>
      <c r="B5" s="21" t="s">
        <v>227</v>
      </c>
      <c r="C5" s="21" t="s">
        <v>228</v>
      </c>
      <c r="D5" s="34" t="n">
        <v>46448</v>
      </c>
      <c r="E5" s="25" t="n">
        <v>18500</v>
      </c>
      <c r="F5" s="25" t="n">
        <v>24000</v>
      </c>
      <c r="G5" s="21" t="n">
        <v>5</v>
      </c>
      <c r="H5" s="21" t="s">
        <v>229</v>
      </c>
    </row>
    <row r="6" customFormat="false" ht="15" hidden="false" customHeight="false" outlineLevel="0" collapsed="false">
      <c r="A6" s="6" t="s">
        <v>230</v>
      </c>
      <c r="B6" s="21" t="s">
        <v>231</v>
      </c>
      <c r="C6" s="21" t="s">
        <v>228</v>
      </c>
      <c r="D6" s="34" t="n">
        <v>46486</v>
      </c>
      <c r="E6" s="25" t="n">
        <v>32000</v>
      </c>
      <c r="F6" s="25" t="n">
        <v>41600</v>
      </c>
      <c r="G6" s="21" t="n">
        <v>0</v>
      </c>
      <c r="H6" s="21" t="s">
        <v>232</v>
      </c>
    </row>
    <row r="7" customFormat="false" ht="15" hidden="false" customHeight="false" outlineLevel="0" collapsed="false">
      <c r="A7" s="6" t="s">
        <v>233</v>
      </c>
      <c r="B7" s="21" t="s">
        <v>234</v>
      </c>
      <c r="C7" s="21" t="s">
        <v>228</v>
      </c>
      <c r="D7" s="34" t="n">
        <v>46491</v>
      </c>
      <c r="E7" s="25" t="n">
        <v>9800</v>
      </c>
      <c r="F7" s="25" t="n">
        <v>12700</v>
      </c>
      <c r="G7" s="21" t="n">
        <v>3</v>
      </c>
      <c r="H7" s="21" t="s">
        <v>232</v>
      </c>
    </row>
    <row r="8" customFormat="false" ht="15" hidden="false" customHeight="false" outlineLevel="0" collapsed="false">
      <c r="A8" s="2"/>
      <c r="B8" s="4" t="s">
        <v>235</v>
      </c>
      <c r="C8" s="2"/>
      <c r="D8" s="2"/>
      <c r="E8" s="35" t="n">
        <f aca="false">SUMIF(H5:H7,"Approved",E5:E7)</f>
        <v>18500</v>
      </c>
      <c r="F8" s="35" t="n">
        <f aca="false">SUMIF(H5:H7,"Approved",F5:F7)</f>
        <v>24000</v>
      </c>
      <c r="G8" s="2" t="n">
        <f aca="false">SUMIF(H5:H7,"Approved",G5:G7)</f>
        <v>5</v>
      </c>
      <c r="H8" s="2"/>
    </row>
    <row r="9" customFormat="false" ht="15" hidden="false" customHeight="false" outlineLevel="0" collapsed="false">
      <c r="A9" s="2"/>
      <c r="B9" s="4" t="s">
        <v>236</v>
      </c>
      <c r="C9" s="2"/>
      <c r="D9" s="2"/>
      <c r="E9" s="35" t="n">
        <f aca="false">SUMIF(H5:H7,"Pending",E5:E7)</f>
        <v>41800</v>
      </c>
      <c r="F9" s="35" t="n">
        <f aca="false">SUMIF(H5:H7,"Pending",F5:F7)</f>
        <v>54300</v>
      </c>
      <c r="G9" s="2"/>
      <c r="H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AN80" numberStoredAsText="1" formula="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52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" t="s">
        <v>14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237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6.85" hidden="false" customHeight="false" outlineLevel="0" collapsed="false">
      <c r="A4" s="15" t="s">
        <v>238</v>
      </c>
      <c r="B4" s="15" t="s">
        <v>239</v>
      </c>
      <c r="C4" s="15" t="s">
        <v>240</v>
      </c>
      <c r="D4" s="15" t="s">
        <v>241</v>
      </c>
      <c r="E4" s="15" t="s">
        <v>242</v>
      </c>
      <c r="F4" s="15" t="s">
        <v>243</v>
      </c>
      <c r="G4" s="15" t="s">
        <v>244</v>
      </c>
      <c r="H4" s="15" t="s">
        <v>54</v>
      </c>
    </row>
    <row r="5" customFormat="false" ht="26.85" hidden="false" customHeight="false" outlineLevel="0" collapsed="false">
      <c r="A5" s="36" t="s">
        <v>245</v>
      </c>
      <c r="B5" s="36" t="s">
        <v>246</v>
      </c>
      <c r="C5" s="37" t="n">
        <v>3</v>
      </c>
      <c r="D5" s="37" t="n">
        <v>5</v>
      </c>
      <c r="E5" s="36" t="n">
        <f aca="false">C5*D5</f>
        <v>15</v>
      </c>
      <c r="F5" s="36" t="str">
        <f aca="false">IF(E5&gt;=15,"High",IF(E5&gt;=8,"Medium","Low"))</f>
        <v>High</v>
      </c>
      <c r="G5" s="36" t="s">
        <v>247</v>
      </c>
      <c r="H5" s="36" t="s">
        <v>109</v>
      </c>
    </row>
    <row r="6" customFormat="false" ht="26.85" hidden="false" customHeight="false" outlineLevel="0" collapsed="false">
      <c r="A6" s="36" t="s">
        <v>248</v>
      </c>
      <c r="B6" s="36" t="s">
        <v>249</v>
      </c>
      <c r="C6" s="37" t="n">
        <v>2</v>
      </c>
      <c r="D6" s="37" t="n">
        <v>5</v>
      </c>
      <c r="E6" s="36" t="n">
        <f aca="false">C6*D6</f>
        <v>10</v>
      </c>
      <c r="F6" s="36" t="str">
        <f aca="false">IF(E6&gt;=15,"High",IF(E6&gt;=8,"Medium","Low"))</f>
        <v>Medium</v>
      </c>
      <c r="G6" s="36" t="s">
        <v>250</v>
      </c>
      <c r="H6" s="36" t="s">
        <v>68</v>
      </c>
    </row>
    <row r="7" customFormat="false" ht="26.85" hidden="false" customHeight="false" outlineLevel="0" collapsed="false">
      <c r="A7" s="36" t="s">
        <v>251</v>
      </c>
      <c r="B7" s="36" t="s">
        <v>252</v>
      </c>
      <c r="C7" s="37" t="n">
        <v>4</v>
      </c>
      <c r="D7" s="37" t="n">
        <v>3</v>
      </c>
      <c r="E7" s="36" t="n">
        <f aca="false">C7*D7</f>
        <v>12</v>
      </c>
      <c r="F7" s="36" t="str">
        <f aca="false">IF(E7&gt;=15,"High",IF(E7&gt;=8,"Medium","Low"))</f>
        <v>Medium</v>
      </c>
      <c r="G7" s="36" t="s">
        <v>253</v>
      </c>
      <c r="H7" s="36" t="s">
        <v>65</v>
      </c>
    </row>
    <row r="8" customFormat="false" ht="26.85" hidden="false" customHeight="false" outlineLevel="0" collapsed="false">
      <c r="A8" s="36" t="s">
        <v>254</v>
      </c>
      <c r="B8" s="36" t="s">
        <v>255</v>
      </c>
      <c r="C8" s="37" t="n">
        <v>5</v>
      </c>
      <c r="D8" s="37" t="n">
        <v>3</v>
      </c>
      <c r="E8" s="36" t="n">
        <f aca="false">C8*D8</f>
        <v>15</v>
      </c>
      <c r="F8" s="36" t="str">
        <f aca="false">IF(E8&gt;=15,"High",IF(E8&gt;=8,"Medium","Low"))</f>
        <v>High</v>
      </c>
      <c r="G8" s="36" t="s">
        <v>256</v>
      </c>
      <c r="H8" s="36" t="s">
        <v>65</v>
      </c>
    </row>
    <row r="9" customFormat="false" ht="26.85" hidden="false" customHeight="false" outlineLevel="0" collapsed="false">
      <c r="A9" s="36" t="s">
        <v>257</v>
      </c>
      <c r="B9" s="36" t="s">
        <v>258</v>
      </c>
      <c r="C9" s="37" t="n">
        <v>2</v>
      </c>
      <c r="D9" s="37" t="n">
        <v>4</v>
      </c>
      <c r="E9" s="36" t="n">
        <f aca="false">C9*D9</f>
        <v>8</v>
      </c>
      <c r="F9" s="36" t="str">
        <f aca="false">IF(E9&gt;=15,"High",IF(E9&gt;=8,"Medium","Low"))</f>
        <v>Medium</v>
      </c>
      <c r="G9" s="36" t="s">
        <v>259</v>
      </c>
      <c r="H9" s="36" t="s">
        <v>144</v>
      </c>
    </row>
  </sheetData>
  <conditionalFormatting sqref="F5:F9">
    <cfRule type="expression" priority="2" aboveAverage="0" equalAverage="0" bottom="0" percent="0" rank="0" text="" dxfId="6">
      <formula>F5="High"</formula>
    </cfRule>
    <cfRule type="expression" priority="3" aboveAverage="0" equalAverage="0" bottom="0" percent="0" rank="0" text="" dxfId="0">
      <formula>F5="Medium"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AN80" numberStoredAsText="1" formula="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16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260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26.85" hidden="false" customHeight="false" outlineLevel="0" collapsed="false">
      <c r="A4" s="15" t="s">
        <v>261</v>
      </c>
      <c r="B4" s="15" t="s">
        <v>262</v>
      </c>
      <c r="C4" s="15" t="s">
        <v>263</v>
      </c>
      <c r="D4" s="15" t="s">
        <v>264</v>
      </c>
      <c r="E4" s="15" t="s">
        <v>265</v>
      </c>
      <c r="F4" s="15" t="s">
        <v>266</v>
      </c>
    </row>
    <row r="5" customFormat="false" ht="15" hidden="false" customHeight="false" outlineLevel="0" collapsed="false">
      <c r="A5" s="20" t="n">
        <v>1</v>
      </c>
      <c r="B5" s="20" t="s">
        <v>267</v>
      </c>
      <c r="C5" s="20" t="s">
        <v>268</v>
      </c>
      <c r="D5" s="20" t="s">
        <v>269</v>
      </c>
      <c r="E5" s="21" t="s">
        <v>270</v>
      </c>
      <c r="F5" s="21" t="s">
        <v>270</v>
      </c>
    </row>
    <row r="6" customFormat="false" ht="15" hidden="false" customHeight="false" outlineLevel="0" collapsed="false">
      <c r="A6" s="20" t="n">
        <v>2</v>
      </c>
      <c r="B6" s="20" t="s">
        <v>271</v>
      </c>
      <c r="C6" s="20" t="s">
        <v>272</v>
      </c>
      <c r="D6" s="20" t="s">
        <v>273</v>
      </c>
      <c r="E6" s="21" t="s">
        <v>270</v>
      </c>
      <c r="F6" s="21" t="s">
        <v>270</v>
      </c>
    </row>
    <row r="7" customFormat="false" ht="15" hidden="false" customHeight="false" outlineLevel="0" collapsed="false">
      <c r="A7" s="20" t="n">
        <v>3</v>
      </c>
      <c r="B7" s="20" t="s">
        <v>274</v>
      </c>
      <c r="C7" s="20" t="s">
        <v>275</v>
      </c>
      <c r="D7" s="20" t="s">
        <v>276</v>
      </c>
      <c r="E7" s="21" t="s">
        <v>270</v>
      </c>
      <c r="F7" s="21" t="s">
        <v>270</v>
      </c>
    </row>
    <row r="8" customFormat="false" ht="15" hidden="false" customHeight="false" outlineLevel="0" collapsed="false">
      <c r="A8" s="20" t="n">
        <v>4</v>
      </c>
      <c r="B8" s="20" t="s">
        <v>277</v>
      </c>
      <c r="C8" s="20" t="s">
        <v>278</v>
      </c>
      <c r="D8" s="20" t="s">
        <v>279</v>
      </c>
      <c r="E8" s="21" t="s">
        <v>270</v>
      </c>
      <c r="F8" s="21" t="s">
        <v>270</v>
      </c>
    </row>
    <row r="9" customFormat="false" ht="15" hidden="false" customHeight="false" outlineLevel="0" collapsed="false">
      <c r="A9" s="20" t="n">
        <v>5</v>
      </c>
      <c r="B9" s="20" t="s">
        <v>280</v>
      </c>
      <c r="C9" s="20" t="s">
        <v>281</v>
      </c>
      <c r="D9" s="20" t="s">
        <v>282</v>
      </c>
      <c r="E9" s="21" t="s">
        <v>270</v>
      </c>
      <c r="F9" s="21" t="s">
        <v>270</v>
      </c>
    </row>
    <row r="10" customFormat="false" ht="15" hidden="false" customHeight="false" outlineLevel="0" collapsed="false">
      <c r="A10" s="20" t="n">
        <v>6</v>
      </c>
      <c r="B10" s="20" t="s">
        <v>283</v>
      </c>
      <c r="C10" s="20" t="s">
        <v>284</v>
      </c>
      <c r="D10" s="20" t="s">
        <v>285</v>
      </c>
      <c r="E10" s="21" t="s">
        <v>270</v>
      </c>
      <c r="F10" s="21" t="s">
        <v>270</v>
      </c>
    </row>
    <row r="11" customFormat="false" ht="15" hidden="false" customHeight="false" outlineLevel="0" collapsed="false">
      <c r="A11" s="20" t="n">
        <v>7</v>
      </c>
      <c r="B11" s="20" t="s">
        <v>286</v>
      </c>
      <c r="C11" s="20" t="s">
        <v>287</v>
      </c>
      <c r="D11" s="20" t="s">
        <v>288</v>
      </c>
      <c r="E11" s="21" t="s">
        <v>270</v>
      </c>
      <c r="F11" s="21" t="s">
        <v>270</v>
      </c>
    </row>
    <row r="12" customFormat="false" ht="15" hidden="false" customHeight="false" outlineLevel="0" collapsed="false">
      <c r="A12" s="2"/>
      <c r="B12" s="4" t="s">
        <v>289</v>
      </c>
      <c r="C12" s="2"/>
      <c r="D12" s="2"/>
      <c r="E12" s="2" t="str">
        <f aca="false">COUNTIF(E5:E11,"Pass")&amp;" of "&amp;COUNTA(E5:E11)</f>
        <v>0 of 7</v>
      </c>
      <c r="F1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AN80" numberStoredAsText="1" formula="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2026-10-27T21:43:42Z</dcterms:created>
  <dc:creator>openpyxl</dc:creator>
  <dc:description/>
  <dc:language>en-US</dc:language>
  <cp:lastModifiedBy/>
  <dcterms:modified xsi:type="dcterms:W3CDTF">2026-10-27T21:43:42Z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